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Backlog" sheetId="2" state="visible" r:id="rId4"/>
    <sheet name="Requirement Coverage" sheetId="3" state="visible" r:id="rId5"/>
    <sheet name="Epics" sheetId="4" state="visible" r:id="rId6"/>
    <sheet name="Sprints" sheetId="5" state="visible" r:id="rId7"/>
    <sheet name="Tracks" sheetId="6" state="visible" r:id="rId8"/>
    <sheet name="RBAC Matrix" sheetId="7" state="visible" r:id="rId9"/>
    <sheet name="SaaS Operator Roles" sheetId="8" state="visible" r:id="rId10"/>
    <sheet name="Security Controls" sheetId="9" state="visible" r:id="rId11"/>
    <sheet name="Risks" sheetId="10" state="visible" r:id="rId12"/>
    <sheet name="Changes from v1" sheetId="11" state="visible" r:id="rId13"/>
  </sheets>
  <definedNames>
    <definedName function="false" hidden="true" localSheetId="1" name="_xlnm._FilterDatabase" vbProcedure="false">Backlog!$A$1:$S$350</definedName>
    <definedName function="false" hidden="true" localSheetId="2" name="_xlnm._FilterDatabase" vbProcedure="false">'Requirement Coverage'!$A$4:$G$189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<sst xmlns="http://schemas.openxmlformats.org/spreadsheetml/2006/main" count="7174" uniqueCount="2718">
  <si>
    <t xml:space="preserve">Nabd — Hospital / Clinic Management System</t>
  </si>
  <si>
    <t xml:space="preserve">Implementation Task Plan v2 — rebuilt against the updated wireframe</t>
  </si>
  <si>
    <t xml:space="preserve">Prepared for</t>
  </si>
  <si>
    <t xml:space="preserve">Harish</t>
  </si>
  <si>
    <t xml:space="preserve">Date</t>
  </si>
  <si>
    <t xml:space="preserve">13 August 2026</t>
  </si>
  <si>
    <t xml:space="preserve">Supersedes</t>
  </si>
  <si>
    <t xml:space="preserve">v1 of 11 August 2026 (202 tasks, 1,210 points)</t>
  </si>
  <si>
    <t xml:space="preserve">Source</t>
  </si>
  <si>
    <t xml:space="preserve">Nabd wireframe (Platform Console v29 + current shell) and DESIGN.md in the connected folder</t>
  </si>
  <si>
    <t xml:space="preserve">WHAT THE UPDATED WIREFRAME CHANGED</t>
  </si>
  <si>
    <t xml:space="preserve">The wireframe now carries a formal requirement register — 185 identifiers across 30 prefixes (SYS, PAT, CGV, CAD, RCP, OWN, PKG, BIL,</t>
  </si>
  <si>
    <t xml:space="preserve">   PHR, CMP, DPO, SSA, SCS, AGG, CEO, NFR, MKT and nine clinical specialties). Every task below is traced to those identifiers, and the</t>
  </si>
  <si>
    <t xml:space="preserve">   Requirement Coverage tab proves all 185 are covered.</t>
  </si>
  <si>
    <t xml:space="preserve">Four product areas exist now that did not exist in v1: the patient WhatsApp surface, caregiver and family handling, the aggregator layer,</t>
  </si>
  <si>
    <t xml:space="preserve">   and a rebuilt platform console with seven distinct SaaS operator roles.</t>
  </si>
  <si>
    <t xml:space="preserve">DESIGN.md gained a full chart system (sections 8.22-8.29) and a messaging component set (8.16-8.21). Both are now build epics.</t>
  </si>
  <si>
    <t xml:space="preserve">Scope roughly doubled: 349 tasks and 2,260 points against v1's 202 and 1,210.</t>
  </si>
  <si>
    <t xml:space="preserve">EXPLICIT NON-GOALS TAKEN FROM THE WIREFRAME — do not build these</t>
  </si>
  <si>
    <t xml:space="preserve">NFR-06</t>
  </si>
  <si>
    <t xml:space="preserve">No SSO and no hardware security keys. Staff sign in with WhatsApp OTP, a short PIN or an authenticator app. The v1 SSO/OIDC task has been deleted.</t>
  </si>
  <si>
    <t xml:space="preserve">CAD-10</t>
  </si>
  <si>
    <t xml:space="preserve">No payroll engine. Payroll is a CSV export only.</t>
  </si>
  <si>
    <t xml:space="preserve">SYS-10</t>
  </si>
  <si>
    <t xml:space="preserve">No live claims pipeline. Full claims go via certified middleware in Phase 3. Ayushman is out of scope. Only a simple claim export (BIL-11) and NPHIES eligibility-check-lite (RCP-07) are in scope.</t>
  </si>
  <si>
    <t xml:space="preserve">PHR-04</t>
  </si>
  <si>
    <t xml:space="preserve">Controlled drugs get a warning and a register entry, never a hard block — no registered pharmacist licence is assumed.</t>
  </si>
  <si>
    <t xml:space="preserve">CEO-14</t>
  </si>
  <si>
    <t xml:space="preserve">No review filtering or gating. Nabd and Google ratings are never blended into one number.</t>
  </si>
  <si>
    <t xml:space="preserve">CEO-25</t>
  </si>
  <si>
    <t xml:space="preserve">Adherence data is capture-only and is never monetised.</t>
  </si>
  <si>
    <t xml:space="preserve">AGG-03</t>
  </si>
  <si>
    <t xml:space="preserve">Word-to-specialty matching only. No symptom interpretation and no clinical triage.</t>
  </si>
  <si>
    <t xml:space="preserve">PED-04</t>
  </si>
  <si>
    <t xml:space="preserve">Growth percentiles are never calculated in the UI — only a validated growth service may produce them.</t>
  </si>
  <si>
    <t xml:space="preserve">PLANNING ASSUMPTIONS — edit the blue cells; everything derived recalculates</t>
  </si>
  <si>
    <t xml:space="preserve">Assumption</t>
  </si>
  <si>
    <t xml:space="preserve">Value</t>
  </si>
  <si>
    <t xml:space="preserve">Note</t>
  </si>
  <si>
    <t xml:space="preserve">Sprint length (weeks)</t>
  </si>
  <si>
    <t xml:space="preserve">Standard two-week iteration</t>
  </si>
  <si>
    <t xml:space="preserve">Velocity per squad (points / sprint)</t>
  </si>
  <si>
    <t xml:space="preserve">A squad is roughly 6 people. Sprint capacity = this multiplied by the squads active that sprint.</t>
  </si>
  <si>
    <t xml:space="preserve">Person-days per story point</t>
  </si>
  <si>
    <t xml:space="preserve">Calibrate after two or three sprints; drives the indicative effort column only.</t>
  </si>
  <si>
    <t xml:space="preserve">Blended cost per person-day</t>
  </si>
  <si>
    <t xml:space="preserve">Optional — enter your rate to cost the plan. Left at zero by the author.</t>
  </si>
  <si>
    <t xml:space="preserve">Peak squads in parallel</t>
  </si>
  <si>
    <t xml:space="preserve">Reached in sprints 14-18. Roughly 30 delivery people at peak — this scope cannot be absorbed by one team.</t>
  </si>
  <si>
    <t xml:space="preserve">TABS</t>
  </si>
  <si>
    <t xml:space="preserve">Tab</t>
  </si>
  <si>
    <t xml:space="preserve">Purpose</t>
  </si>
  <si>
    <t xml:space="preserve">Backlog</t>
  </si>
  <si>
    <t xml:space="preserve">The full task list — 349 rows. One row is one epic-level story. Edit Status, Sprint, Points and Owner.</t>
  </si>
  <si>
    <t xml:space="preserve">Requirement Coverage</t>
  </si>
  <si>
    <t xml:space="preserve">Every one of the 185 wireframe requirement identifiers mapped to the tasks that deliver it. Zero uncovered is the release gate.</t>
  </si>
  <si>
    <t xml:space="preserve">Epics</t>
  </si>
  <si>
    <t xml:space="preserve">Automatic rollup by epic. All formulas — do not type here.</t>
  </si>
  <si>
    <t xml:space="preserve">Sprints</t>
  </si>
  <si>
    <t xml:space="preserve">Sprint load against ramped squad capacity. Over-capacity sprints turn red.</t>
  </si>
  <si>
    <t xml:space="preserve">Tracks</t>
  </si>
  <si>
    <t xml:space="preserve">Rollup by parallel delivery track, showing how the four tracks are staffed.</t>
  </si>
  <si>
    <t xml:space="preserve">RBAC Matrix</t>
  </si>
  <si>
    <t xml:space="preserve">The clinic role and permission grid taken from the wireframe — the specification for epic E06.</t>
  </si>
  <si>
    <t xml:space="preserve">SaaS Operator Roles</t>
  </si>
  <si>
    <t xml:space="preserve">The seven platform-side roles from SSA-02 and what each may reach.</t>
  </si>
  <si>
    <t xml:space="preserve">Security Controls</t>
  </si>
  <si>
    <t xml:space="preserve">Cybersecurity, privacy and compliance controls mapped to delivering tasks, with a go-live gate counter.</t>
  </si>
  <si>
    <t xml:space="preserve">Risks</t>
  </si>
  <si>
    <t xml:space="preserve">Delivery, security and clinical-safety risks with owners and mitigations.</t>
  </si>
  <si>
    <t xml:space="preserve">Changes from v1</t>
  </si>
  <si>
    <t xml:space="preserve">What was added, removed and re-scoped when the wireframe was updated.</t>
  </si>
  <si>
    <t xml:space="preserve">Estimates are the author's architectural judgement from the wireframe, not a quotation. They assume no pre-existing codebase.</t>
  </si>
  <si>
    <t xml:space="preserve">ID</t>
  </si>
  <si>
    <t xml:space="preserve">Epic</t>
  </si>
  <si>
    <t xml:space="preserve">Module</t>
  </si>
  <si>
    <t xml:space="preserve">Task</t>
  </si>
  <si>
    <t xml:space="preserve">Description</t>
  </si>
  <si>
    <t xml:space="preserve">Requirement IDs</t>
  </si>
  <si>
    <t xml:space="preserve">Roles Impacted</t>
  </si>
  <si>
    <t xml:space="preserve">Track</t>
  </si>
  <si>
    <t xml:space="preserve">Discipline</t>
  </si>
  <si>
    <t xml:space="preserve">Priority</t>
  </si>
  <si>
    <t xml:space="preserve">Delivery Phase</t>
  </si>
  <si>
    <t xml:space="preserve">Story Points</t>
  </si>
  <si>
    <t xml:space="preserve">Sprint</t>
  </si>
  <si>
    <t xml:space="preserve">Release Band</t>
  </si>
  <si>
    <t xml:space="preserve">Est. Person-Days</t>
  </si>
  <si>
    <t xml:space="preserve">Depends On</t>
  </si>
  <si>
    <t xml:space="preserve">Acceptance Criteria</t>
  </si>
  <si>
    <t xml:space="preserve">Status</t>
  </si>
  <si>
    <t xml:space="preserve">Owner / Squad</t>
  </si>
  <si>
    <t xml:space="preserve">NB-001</t>
  </si>
  <si>
    <t xml:space="preserve">E01 Foundation &amp; Architecture</t>
  </si>
  <si>
    <t xml:space="preserve">Architecture</t>
  </si>
  <si>
    <t xml:space="preserve">Define target architecture &amp; ADR set</t>
  </si>
  <si>
    <t xml:space="preserve">Modular monolith + Postgres, region-isolated stacks for India and KSA, event bus for messaging. ADRs for datastore, tenancy, hosting.</t>
  </si>
  <si>
    <t xml:space="preserve">SYS-14,NFR-04</t>
  </si>
  <si>
    <t xml:space="preserve">All</t>
  </si>
  <si>
    <t xml:space="preserve">Shared</t>
  </si>
  <si>
    <t xml:space="preserve">Must</t>
  </si>
  <si>
    <t xml:space="preserve">MVP</t>
  </si>
  <si>
    <t xml:space="preserve">ADRs approved; C4 L1/L2 published; region topology signed off</t>
  </si>
  <si>
    <t xml:space="preserve">Not started</t>
  </si>
  <si>
    <t xml:space="preserve">NB-002</t>
  </si>
  <si>
    <t xml:space="preserve">Multi-tenancy isolation model + irreversible region lock</t>
  </si>
  <si>
    <t xml:space="preserve">Region is chosen at provisioning and locked permanently. No cross-region replication; region-scoped KMS keys.</t>
  </si>
  <si>
    <t xml:space="preserve">Platform</t>
  </si>
  <si>
    <t xml:space="preserve">PoC proves row-level isolation; region field immutable after provisioning; attempt to change is rejected and audited</t>
  </si>
  <si>
    <t xml:space="preserve">NB-003</t>
  </si>
  <si>
    <t xml:space="preserve">Data</t>
  </si>
  <si>
    <t xml:space="preserve">Core data model &amp; ERD</t>
  </si>
  <si>
    <t xml:space="preserve">Tenant, Clinic, Branch, Staff, Role, Patient, FamilyMember, Encounter, Appointment, Invoice, Package, Prescription, PharmacyItem, ConsentRecord, AuditEvent.</t>
  </si>
  <si>
    <t xml:space="preserve">SYS-13</t>
  </si>
  <si>
    <t xml:space="preserve">Backend</t>
  </si>
  <si>
    <t xml:space="preserve">ERD reviewed; migrations generated; naming conventions documented</t>
  </si>
  <si>
    <t xml:space="preserve">NB-004</t>
  </si>
  <si>
    <t xml:space="preserve">Database migration framework &amp; seed data</t>
  </si>
  <si>
    <t xml:space="preserve">Versioned reversible migrations; seed tenants for India and KSA demo clinics matching the wireframe fixtures.</t>
  </si>
  <si>
    <t xml:space="preserve">Migrate up/down clean; seeds reproduce wireframe demo data</t>
  </si>
  <si>
    <t xml:space="preserve">NB-005</t>
  </si>
  <si>
    <t xml:space="preserve">API</t>
  </si>
  <si>
    <t xml:space="preserve">API standards, versioning &amp; error contract</t>
  </si>
  <si>
    <t xml:space="preserve">REST /v1, RFC7807 errors, pagination, idempotency keys on every financial and clinical write.</t>
  </si>
  <si>
    <t xml:space="preserve">SYS-06</t>
  </si>
  <si>
    <t xml:space="preserve">OpenAPI published; CI linter enforces the standard</t>
  </si>
  <si>
    <t xml:space="preserve">NB-006</t>
  </si>
  <si>
    <t xml:space="preserve">API gateway &amp; per-role BFF layer</t>
  </si>
  <si>
    <t xml:space="preserve">Single entry point; role-shaped payloads so the mobile queue screen stays small.</t>
  </si>
  <si>
    <t xml:space="preserve">NFR-02</t>
  </si>
  <si>
    <t xml:space="preserve">Should</t>
  </si>
  <si>
    <t xml:space="preserve">p95 payload under 150KB on the queue screen</t>
  </si>
  <si>
    <t xml:space="preserve">NB-007</t>
  </si>
  <si>
    <t xml:space="preserve">Event bus &amp; transactional outbox</t>
  </si>
  <si>
    <t xml:space="preserve">No clinical, billing or messaging event may be lost. Drives WhatsApp, SMS, recall and webhooks.</t>
  </si>
  <si>
    <t xml:space="preserve">SYS-01,NFR-12</t>
  </si>
  <si>
    <t xml:space="preserve">NB-003, NB-005</t>
  </si>
  <si>
    <t xml:space="preserve">Zero message loss under forced consumer failure</t>
  </si>
  <si>
    <t xml:space="preserve">NB-008</t>
  </si>
  <si>
    <t xml:space="preserve">Feature-flag &amp; module-entitlement service</t>
  </si>
  <si>
    <t xml:space="preserve">Drives Included / Trial / Paid add-on / Upgrade required / Disabled-by-clinic / Disabled-by-platform states.</t>
  </si>
  <si>
    <t xml:space="preserve">SYS-20,CAD-13</t>
  </si>
  <si>
    <t xml:space="preserve">Owner,Platform</t>
  </si>
  <si>
    <t xml:space="preserve">NB-001, NB-002</t>
  </si>
  <si>
    <t xml:space="preserve">Entitlement change propagates in under 60s; upgrade/downgrade under 5 minutes with no data loss</t>
  </si>
  <si>
    <t xml:space="preserve">NB-009</t>
  </si>
  <si>
    <t xml:space="preserve">Config &amp; secrets management with role separation</t>
  </si>
  <si>
    <t xml:space="preserve">Installation secrets are separate from tenant integration secrets — two different operator roles.</t>
  </si>
  <si>
    <t xml:space="preserve">SYS-14</t>
  </si>
  <si>
    <t xml:space="preserve">DevOps</t>
  </si>
  <si>
    <t xml:space="preserve">NB-299</t>
  </si>
  <si>
    <t xml:space="preserve">Secret scan clean; installation and tenant secrets held in separate scopes with separate access</t>
  </si>
  <si>
    <t xml:space="preserve">NB-010</t>
  </si>
  <si>
    <t xml:space="preserve">Reference data service</t>
  </si>
  <si>
    <t xml:space="preserve">ICD-10 subset, drug master (India NMC generics + KSA SFDA identifiers), charge catalogue, GST/VAT rate tables, vaccine schedules.</t>
  </si>
  <si>
    <t xml:space="preserve">GP-05,DOC-06</t>
  </si>
  <si>
    <t xml:space="preserve">Doctor,Reception</t>
  </si>
  <si>
    <t xml:space="preserve">Catalogue seeded; rates and drug lists versioned by effective date</t>
  </si>
  <si>
    <t xml:space="preserve">NB-011</t>
  </si>
  <si>
    <t xml:space="preserve">Shared reason-code service</t>
  </si>
  <si>
    <t xml:space="preserve">One shared reason list reused by cancellation, reschedule, block, override and refusal flows.</t>
  </si>
  <si>
    <t xml:space="preserve">SYS-07</t>
  </si>
  <si>
    <t xml:space="preserve">Every reason-capture surface reads from this service; reasons are configurable per tenant</t>
  </si>
  <si>
    <t xml:space="preserve">NB-012</t>
  </si>
  <si>
    <t xml:space="preserve">E02 Design System &amp; UI Kit</t>
  </si>
  <si>
    <t xml:space="preserve">Design System</t>
  </si>
  <si>
    <t xml:space="preserve">Tokenise DESIGN.md into a theme package</t>
  </si>
  <si>
    <t xml:space="preserve">All --nb-* colour, spacing, radius, elevation and motion tokens as a shared package.</t>
  </si>
  <si>
    <t xml:space="preserve">Frontend</t>
  </si>
  <si>
    <t xml:space="preserve">Token package published; visual diff vs wireframe under 2px</t>
  </si>
  <si>
    <t xml:space="preserve">NB-013</t>
  </si>
  <si>
    <t xml:space="preserve">Core controls — button, input, select, segmented, chip</t>
  </si>
  <si>
    <t xml:space="preserve">Per DESIGN.md 8.1-8.4 with every rest/hover/active/focus/disabled/loading state.</t>
  </si>
  <si>
    <t xml:space="preserve">Storybook covers every state; a11y checks pass</t>
  </si>
  <si>
    <t xml:space="preserve">NB-014</t>
  </si>
  <si>
    <t xml:space="preserve">Containers — card, table, mobile list row, drawer, modal, bottom sheet</t>
  </si>
  <si>
    <t xml:space="preserve">Per 8.5-8.13 including the sub-768px table-to-card replacement.</t>
  </si>
  <si>
    <t xml:space="preserve">Responsive switch verified at 767/768px; focus trap correct</t>
  </si>
  <si>
    <t xml:space="preserve">NB-015</t>
  </si>
  <si>
    <t xml:space="preserve">Clinical state system — pill, badge, critical shape cue</t>
  </si>
  <si>
    <t xml:space="preserve">Nine states, each hue + icon + text; critical adds a shape cue and a 3px left bar.</t>
  </si>
  <si>
    <t xml:space="preserve">Colour-blind simulation review passed; no hue-only state anywhere</t>
  </si>
  <si>
    <t xml:space="preserve">NB-016</t>
  </si>
  <si>
    <t xml:space="preserve">Icon sprite &amp; illustration tier</t>
  </si>
  <si>
    <t xml:space="preserve">Single monoline family at stroke 1.75; 3D illustration set reserved for empty and success states only.</t>
  </si>
  <si>
    <t xml:space="preserve">Sprite built from the wireframe symbols; lint blocks a second UI icon family</t>
  </si>
  <si>
    <t xml:space="preserve">NB-017</t>
  </si>
  <si>
    <t xml:space="preserve">App shell — sidebar, sectioned nav, rail, top bar, bottom nav</t>
  </si>
  <si>
    <t xml:space="preserve">248px sidebar / 72px collapsed / 88px rail / 64px bottom nav, with section grouping for the platform console.</t>
  </si>
  <si>
    <t xml:space="preserve">SSA-02</t>
  </si>
  <si>
    <t xml:space="preserve">NB-014, NB-013</t>
  </si>
  <si>
    <t xml:space="preserve">Shell renders at all four breakpoints; nav sections group correctly</t>
  </si>
  <si>
    <t xml:space="preserve">NB-018</t>
  </si>
  <si>
    <t xml:space="preserve">Messaging component set</t>
  </si>
  <si>
    <t xml:space="preserve">Message bubble, template card with variable-only editing, interactive reply set, conversation row, delivery-state chip, session-window indicator (8.16-8.21).</t>
  </si>
  <si>
    <t xml:space="preserve">RCP-11,CMP-07</t>
  </si>
  <si>
    <t xml:space="preserve">NB-013, NB-014</t>
  </si>
  <si>
    <t xml:space="preserve">Template card makes fixed text physically uneditable; session indicator gates the composer</t>
  </si>
  <si>
    <t xml:space="preserve">NB-019</t>
  </si>
  <si>
    <t xml:space="preserve">Command palette (Cmd/Ctrl-K)</t>
  </si>
  <si>
    <t xml:space="preserve">Grouped, role-scoped results. Platform console searches clinics, tickets, invoices and provisioning jobs.</t>
  </si>
  <si>
    <t xml:space="preserve">Only permitted entities appear for the signed-in role</t>
  </si>
  <si>
    <t xml:space="preserve">NB-020</t>
  </si>
  <si>
    <t xml:space="preserve">Loading, empty, error, offline &amp; permission state patterns</t>
  </si>
  <si>
    <t xml:space="preserve">Skeleton shimmer, 140px illustration empties, inline errors, sync banner, absent-not-disabled permission handling.</t>
  </si>
  <si>
    <t xml:space="preserve">NFR-12</t>
  </si>
  <si>
    <t xml:space="preserve">Every list screen implements all states; no disabled element carries a permission reason</t>
  </si>
  <si>
    <t xml:space="preserve">NB-021</t>
  </si>
  <si>
    <t xml:space="preserve">Light theme build</t>
  </si>
  <si>
    <t xml:space="preserve">DESIGN.md 1.7 mapping. Blocked on stakeholder approval — still marked NEEDS APPROVAL in the source.</t>
  </si>
  <si>
    <t xml:space="preserve">Could</t>
  </si>
  <si>
    <t xml:space="preserve">Phase 2</t>
  </si>
  <si>
    <t xml:space="preserve">Light theme passes AA on all tokens; per-user toggle persists</t>
  </si>
  <si>
    <t xml:space="preserve">NB-022</t>
  </si>
  <si>
    <t xml:space="preserve">E03 Chart &amp; Data-Visualisation System</t>
  </si>
  <si>
    <t xml:space="preserve">Charts</t>
  </si>
  <si>
    <t xml:space="preserve">Chart colour foundation &amp; series palette</t>
  </si>
  <si>
    <t xml:space="preserve">Eight categorical series in the OKLCH 0.49-0.53 band, sequential and diverging ramps, neutral diverging midpoint. Reserved state colours never appear as a series.</t>
  </si>
  <si>
    <t xml:space="preserve">GP-03,PED-03</t>
  </si>
  <si>
    <t xml:space="preserve">All eight series at 3:1 on surface-1; automated check rejects any state colour used as series identity</t>
  </si>
  <si>
    <t xml:space="preserve">NB-023</t>
  </si>
  <si>
    <t xml:space="preserve">All-pairs gate &amp; series-count guard</t>
  </si>
  <si>
    <t xml:space="preserve">Only slots 1-3 clear the all-pairs gate; slots 4 and 6 must never share an all-pairs chart. Past three series, fold to Other or facet.</t>
  </si>
  <si>
    <t xml:space="preserve">GP-03</t>
  </si>
  <si>
    <t xml:space="preserve">Component refuses a fourth series in scatter/bubble/small-multiple mode and folds to Other</t>
  </si>
  <si>
    <t xml:space="preserve">NB-024</t>
  </si>
  <si>
    <t xml:space="preserve">Column, bar, line &amp; area primitives</t>
  </si>
  <si>
    <t xml:space="preserve">Inline SVG only, no charting library, no canvas. 24px max thickness, 2px surface gap, 2px line, markers with surface ring.</t>
  </si>
  <si>
    <t xml:space="preserve">No third-party chart library in the bundle; renders under budget on a mid-range Android</t>
  </si>
  <si>
    <t xml:space="preserve">NB-025</t>
  </si>
  <si>
    <t xml:space="preserve">Stat tile, meter &amp; sparkline</t>
  </si>
  <si>
    <t xml:space="preserve">Auto-compacted values (1,284 / 12.9K / Rs 4.2L), signed delta coloured by direction and whether up is good.</t>
  </si>
  <si>
    <t xml:space="preserve">OWN-01</t>
  </si>
  <si>
    <t xml:space="preserve">Owner</t>
  </si>
  <si>
    <t xml:space="preserve">Compaction correct for INR lakh and SAR conventions in all three languages</t>
  </si>
  <si>
    <t xml:space="preserve">NB-026</t>
  </si>
  <si>
    <t xml:space="preserve">Legend, direct labels, tooltip &amp; crosshair</t>
  </si>
  <si>
    <t xml:space="preserve">Reuses the 8.9 tooltip surface. Labels never wear the series colour; a label that will not fit moves or drops to the tooltip, never clips.</t>
  </si>
  <si>
    <t xml:space="preserve">No clipped label at any breakpoint; single-series charts render no legend</t>
  </si>
  <si>
    <t xml:space="preserve">NB-027</t>
  </si>
  <si>
    <t xml:space="preserve">Mandatory table view &amp; export path for every chart</t>
  </si>
  <si>
    <t xml:space="preserve">Every chart ships a table view — the sub-3:1 relief channel, the screen-reader equivalent and the export path.</t>
  </si>
  <si>
    <t xml:space="preserve">SYS-23</t>
  </si>
  <si>
    <t xml:space="preserve">No chart ships without a table view; screen reader reads the table, not the SVG</t>
  </si>
  <si>
    <t xml:space="preserve">NB-028</t>
  </si>
  <si>
    <t xml:space="preserve">Ten chart states</t>
  </si>
  <si>
    <t xml:space="preserve">Empty with reason, single data point, insufficient data, loading, offline/stale, partial data (gaps stay gaps), unit-ambiguous, threshold band, permission-restricted, subscription-unavailable.</t>
  </si>
  <si>
    <t xml:space="preserve">PED-03,GP-03</t>
  </si>
  <si>
    <t xml:space="preserve">NB-024, NB-020</t>
  </si>
  <si>
    <t xml:space="preserve">All ten states demonstrated; a one-point trend degrades to a stat tile rather than erroring</t>
  </si>
  <si>
    <t xml:space="preserve">NB-029</t>
  </si>
  <si>
    <t xml:space="preserve">Chart RTL &amp; aggregation rules</t>
  </si>
  <si>
    <t xml:space="preserve">Time axes never mirror; category axes and legends do. Charts past ~200 marks aggregate before rendering and say so.</t>
  </si>
  <si>
    <t xml:space="preserve">NB-024, NB-031</t>
  </si>
  <si>
    <t xml:space="preserve">Arabic time-axis chart verified unmirrored; 500-mark dataset aggregates with a visible notice</t>
  </si>
  <si>
    <t xml:space="preserve">NB-030</t>
  </si>
  <si>
    <t xml:space="preserve">E04 Localisation, RTL &amp; i18n</t>
  </si>
  <si>
    <t xml:space="preserve">i18n</t>
  </si>
  <si>
    <t xml:space="preserve">i18n framework &amp; string extraction pipeline</t>
  </si>
  <si>
    <t xml:space="preserve">EN / AR / HI bundles plus the patient-side language set (Hinglish, Tamil, Malayalam, Kannada, Bengali). No hardcoded strings.</t>
  </si>
  <si>
    <t xml:space="preserve">PAT-15</t>
  </si>
  <si>
    <t xml:space="preserve">Lint fails on literal UI strings; pseudo-locale build available</t>
  </si>
  <si>
    <t xml:space="preserve">NB-031</t>
  </si>
  <si>
    <t xml:space="preserve">RTL layout engine — logical properties only</t>
  </si>
  <si>
    <t xml:space="preserve">No left/right in shipped CSS. Nav, drawer, table order, chevrons and selected bar all mirror.</t>
  </si>
  <si>
    <t xml:space="preserve">NB-030, NB-017</t>
  </si>
  <si>
    <t xml:space="preserve">Stylelint blocks physical properties; RTL screenshot suite passes</t>
  </si>
  <si>
    <t xml:space="preserve">NB-032</t>
  </si>
  <si>
    <t xml:space="preserve">RTL non-mirroring exception list including anatomy</t>
  </si>
  <si>
    <t xml:space="preserve">Clock glyphs, media, pulse mark, all time axes, phone numbers, Latin IDs, illustrations — and anatomy: the dental arch and dermatology body map keep fixed LTR order with both ends labelled.</t>
  </si>
  <si>
    <t xml:space="preserve">DENT-01,DERM-04</t>
  </si>
  <si>
    <t xml:space="preserve">Dental arch and body map verified unmirrored in Arabic with explicit end labels</t>
  </si>
  <si>
    <t xml:space="preserve">NB-033</t>
  </si>
  <si>
    <t xml:space="preserve">Arabic &amp; Devanagari typography</t>
  </si>
  <si>
    <t xml:space="preserve">IBM Plex Sans Arabic pairing, line-height +0.1em, letter-spacing forced to zero.</t>
  </si>
  <si>
    <t xml:space="preserve">Arabic renders untracked; no clipped descenders</t>
  </si>
  <si>
    <t xml:space="preserve">NB-034</t>
  </si>
  <si>
    <t xml:space="preserve">Hijri + Gregorian dual calendar</t>
  </si>
  <si>
    <t xml:space="preserve">KSA tenants show Hijri primary with Gregorian secondary on one line; India Gregorian only.</t>
  </si>
  <si>
    <t xml:space="preserve">Reception,Doctor,Owner</t>
  </si>
  <si>
    <t xml:space="preserve">Date component unit-tested across both regions and month boundaries</t>
  </si>
  <si>
    <t xml:space="preserve">NB-035</t>
  </si>
  <si>
    <t xml:space="preserve">Number, currency &amp; numeral configuration</t>
  </si>
  <si>
    <t xml:space="preserve">Western digits by default for clinical and financial values; INR en-IN grouping vs SAR trailing symbol. Arabic-Indic tenant-configurable.</t>
  </si>
  <si>
    <t xml:space="preserve">Reception,Owner</t>
  </si>
  <si>
    <t xml:space="preserve">Currency formatting matches the wireframe for both regions</t>
  </si>
  <si>
    <t xml:space="preserve">NB-036</t>
  </si>
  <si>
    <t xml:space="preserve">Ramadan &amp; prayer-time schedule mode</t>
  </si>
  <si>
    <t xml:space="preserve">Prayer breaks and Ramadan hours change slot generation for KSA tenants.</t>
  </si>
  <si>
    <t xml:space="preserve">SYS-04,CAD-05</t>
  </si>
  <si>
    <t xml:space="preserve">Reception,Doctor</t>
  </si>
  <si>
    <t xml:space="preserve">Clinic</t>
  </si>
  <si>
    <t xml:space="preserve">Fullstack</t>
  </si>
  <si>
    <t xml:space="preserve">NB-090</t>
  </si>
  <si>
    <t xml:space="preserve">Prayer blocks appear as non-bookable; Ramadan toggle shifts the whole day template</t>
  </si>
  <si>
    <t xml:space="preserve">NB-037</t>
  </si>
  <si>
    <t xml:space="preserve">String-expansion resilience pass</t>
  </si>
  <si>
    <t xml:space="preserve">~30% expansion in Hindi and Arabic; every label container wraps, none truncate below two lines.</t>
  </si>
  <si>
    <t xml:space="preserve">Pseudo-locale run shows zero truncation defects</t>
  </si>
  <si>
    <t xml:space="preserve">NB-038</t>
  </si>
  <si>
    <t xml:space="preserve">Clinical &amp; regulatory terminology review</t>
  </si>
  <si>
    <t xml:space="preserve">Native clinician review of Arabic and Hindi clinical strings. Mistranslation here is a patient-safety risk.</t>
  </si>
  <si>
    <t xml:space="preserve">Doctor,Nurse</t>
  </si>
  <si>
    <t xml:space="preserve">QA</t>
  </si>
  <si>
    <t xml:space="preserve">NB-030, NB-103</t>
  </si>
  <si>
    <t xml:space="preserve">Sign-off from a licensed reviewer per language</t>
  </si>
  <si>
    <t xml:space="preserve">NB-039</t>
  </si>
  <si>
    <t xml:space="preserve">Voice-note handling on the patient channel</t>
  </si>
  <si>
    <t xml:space="preserve">Patients send voice notes; the clinic receives them transcribed or playable without leaving the inbox.</t>
  </si>
  <si>
    <t xml:space="preserve">Patient,Reception</t>
  </si>
  <si>
    <t xml:space="preserve">Patient</t>
  </si>
  <si>
    <t xml:space="preserve">NB-197, NB-030</t>
  </si>
  <si>
    <t xml:space="preserve">Voice note playable in the shared inbox; transcription failure degrades gracefully to audio</t>
  </si>
  <si>
    <t xml:space="preserve">NB-040</t>
  </si>
  <si>
    <t xml:space="preserve">E05 Identity, Auth &amp; Session</t>
  </si>
  <si>
    <t xml:space="preserve">Auth</t>
  </si>
  <si>
    <t xml:space="preserve">Staff authentication — WhatsApp OTP, short PIN, authenticator app</t>
  </si>
  <si>
    <t xml:space="preserve">The three supported methods. NFR-06 explicitly rules out SSO and hardware security keys — do not build them.</t>
  </si>
  <si>
    <t xml:space="preserve">NFR-06,SYS-01</t>
  </si>
  <si>
    <t xml:space="preserve">Security</t>
  </si>
  <si>
    <t xml:space="preserve">NB-001, NB-003</t>
  </si>
  <si>
    <t xml:space="preserve">All three methods work; no SSO or WebAuthn code path exists; OWASP ASVS L2 auth controls verified</t>
  </si>
  <si>
    <t xml:space="preserve">NB-041</t>
  </si>
  <si>
    <t xml:space="preserve">Dual-channel staff identity — verified email + mobile</t>
  </si>
  <si>
    <t xml:space="preserve">Mobile receives the WhatsApp OTP, email receives the activation link. Both are required before any patient data is reachable.</t>
  </si>
  <si>
    <t xml:space="preserve">CAD-12</t>
  </si>
  <si>
    <t xml:space="preserve">Access to patient data is impossible until both channels are verified</t>
  </si>
  <si>
    <t xml:space="preserve">NB-042</t>
  </si>
  <si>
    <t xml:space="preserve">Authenticator-app MFA enforcement</t>
  </si>
  <si>
    <t xml:space="preserve">Mandatory for Owner, Platform operators and anyone holding refund or discount rights.</t>
  </si>
  <si>
    <t xml:space="preserve">MFA enforced by policy; recovery codes single-use</t>
  </si>
  <si>
    <t xml:space="preserve">NB-043</t>
  </si>
  <si>
    <t xml:space="preserve">Session management &amp; device trust</t>
  </si>
  <si>
    <t xml:space="preserve">Short-lived access token, rotating refresh, per-device session list, remote revoke.</t>
  </si>
  <si>
    <t xml:space="preserve">Revoked session denied within 60s; refresh-token reuse detected</t>
  </si>
  <si>
    <t xml:space="preserve">NB-044</t>
  </si>
  <si>
    <t xml:space="preserve">Idle timeout &amp; clinical screen lock</t>
  </si>
  <si>
    <t xml:space="preserve">Shared clinic workstations auto-lock with fast re-auth and no loss of draft clinical notes.</t>
  </si>
  <si>
    <t xml:space="preserve">Reception,Nurse,Doctor</t>
  </si>
  <si>
    <t xml:space="preserve">Draft consultation notes survive lock and unlock</t>
  </si>
  <si>
    <t xml:space="preserve">NB-045</t>
  </si>
  <si>
    <t xml:space="preserve">Staff invite, onboarding &amp; first sign-in</t>
  </si>
  <si>
    <t xml:space="preserve">Matches the Invited / Pending first sign-in state in the Staff wireframe.</t>
  </si>
  <si>
    <t xml:space="preserve">NB-041, NB-049</t>
  </si>
  <si>
    <t xml:space="preserve">Invite expires in 72h, single use, audited</t>
  </si>
  <si>
    <t xml:space="preserve">NB-046</t>
  </si>
  <si>
    <t xml:space="preserve">Password/PIN reset &amp; account recovery</t>
  </si>
  <si>
    <t xml:space="preserve">Rate-limited, token-based, no user enumeration.</t>
  </si>
  <si>
    <t xml:space="preserve">Timing and copy identical for known and unknown accounts</t>
  </si>
  <si>
    <t xml:space="preserve">NB-047</t>
  </si>
  <si>
    <t xml:space="preserve">Staff suspension &amp; immediate session termination</t>
  </si>
  <si>
    <t xml:space="preserve">A suspended staff member loses access on every device at once.</t>
  </si>
  <si>
    <t xml:space="preserve">NB-043, NB-045</t>
  </si>
  <si>
    <t xml:space="preserve">Suspension kills live sessions within 30s and writes an audit event</t>
  </si>
  <si>
    <t xml:space="preserve">NB-048</t>
  </si>
  <si>
    <t xml:space="preserve">Break-glass emergency access</t>
  </si>
  <si>
    <t xml:space="preserve">Time-boxed elevated access with mandatory reason and loud audit alerting.</t>
  </si>
  <si>
    <t xml:space="preserve">Doctor,Owner</t>
  </si>
  <si>
    <t xml:space="preserve">NB-049, NB-238</t>
  </si>
  <si>
    <t xml:space="preserve">Break-glass expires automatically; owner notified in real time</t>
  </si>
  <si>
    <t xml:space="preserve">NB-049</t>
  </si>
  <si>
    <t xml:space="preserve">E06 RBAC &amp; Permissions</t>
  </si>
  <si>
    <t xml:space="preserve">RBAC</t>
  </si>
  <si>
    <t xml:space="preserve">Clinic role &amp; permission model (10 modules x 7 actions)</t>
  </si>
  <si>
    <t xml:space="preserve">Patients, Queue, Clinical, Billing, Packages, Pharmacy, Reports, Staff &amp; Access, Setup, Compliance across Owner / Doctor / Reception / Nurse / Custom.</t>
  </si>
  <si>
    <t xml:space="preserve">Matrix matches the wireframe PERMS fixture exactly; unit-tested per role</t>
  </si>
  <si>
    <t xml:space="preserve">NB-050</t>
  </si>
  <si>
    <t xml:space="preserve">Server-side policy enforcement point</t>
  </si>
  <si>
    <t xml:space="preserve">Deny by default on every endpoint. No client-only gating anywhere.</t>
  </si>
  <si>
    <t xml:space="preserve">NB-049, NB-040</t>
  </si>
  <si>
    <t xml:space="preserve">Automated test asserts 403 for every role/endpoint pair not granted</t>
  </si>
  <si>
    <t xml:space="preserve">NB-051</t>
  </si>
  <si>
    <t xml:space="preserve">Row-level scoping — own patients vs all clinic patients</t>
  </si>
  <si>
    <t xml:space="preserve">Enforced in the query, not by post-filtering.</t>
  </si>
  <si>
    <t xml:space="preserve">Doctor</t>
  </si>
  <si>
    <t xml:space="preserve">Direct-ID access to another doctor's patient returns 404, not 403</t>
  </si>
  <si>
    <t xml:space="preserve">NB-052</t>
  </si>
  <si>
    <t xml:space="preserve">Field-level restrictions</t>
  </si>
  <si>
    <t xml:space="preserve">No financial fields, no refund, no discount, vitals-and-vaccines-only custom grants.</t>
  </si>
  <si>
    <t xml:space="preserve">Reception,Nurse</t>
  </si>
  <si>
    <t xml:space="preserve">Restricted fields are absent from the API response, not merely hidden</t>
  </si>
  <si>
    <t xml:space="preserve">NB-053</t>
  </si>
  <si>
    <t xml:space="preserve">Consent checked at query level</t>
  </si>
  <si>
    <t xml:space="preserve">Consent state is evaluated in the data access path, not in the UI — a withdrawn consent removes the data from results.</t>
  </si>
  <si>
    <t xml:space="preserve">NFR-08,CMP-02</t>
  </si>
  <si>
    <t xml:space="preserve">NB-050, NB-003</t>
  </si>
  <si>
    <t xml:space="preserve">Query-level consent check demonstrated; bypassing the UI does not expose consent-gated data</t>
  </si>
  <si>
    <t xml:space="preserve">NB-054</t>
  </si>
  <si>
    <t xml:space="preserve">UI permission rendering contract</t>
  </si>
  <si>
    <t xml:space="preserve">Permission-restricted elements are absent, never disabled or greyed.</t>
  </si>
  <si>
    <t xml:space="preserve">NB-050, NB-013</t>
  </si>
  <si>
    <t xml:space="preserve">Automated DOM assertion: no disabled element carries a permission reason; no create button exists for roles without create rights</t>
  </si>
  <si>
    <t xml:space="preserve">NB-055</t>
  </si>
  <si>
    <t xml:space="preserve">Custom role builder &amp; permission matrix UI</t>
  </si>
  <si>
    <t xml:space="preserve">Owner-facing 640px matrix modal for bespoke roles.</t>
  </si>
  <si>
    <t xml:space="preserve">Owner can reproduce the wireframe's Front Desk + Vitals role</t>
  </si>
  <si>
    <t xml:space="preserve">NB-056</t>
  </si>
  <si>
    <t xml:space="preserve">Approval workflows &amp; maker-checker</t>
  </si>
  <si>
    <t xml:space="preserve">Refunds, discounts above threshold, clinical amendments and platform discount approvals all need a second approver.</t>
  </si>
  <si>
    <t xml:space="preserve">Owner,Reception</t>
  </si>
  <si>
    <t xml:space="preserve">NB-050, NB-238</t>
  </si>
  <si>
    <t xml:space="preserve">Self-approval blocked; approval chain visible in the audit log</t>
  </si>
  <si>
    <t xml:space="preserve">NB-057</t>
  </si>
  <si>
    <t xml:space="preserve">Delegation &amp; temporary access grants</t>
  </si>
  <si>
    <t xml:space="preserve">Cover a doctor's leave without permanently widening rights; auto-expiring.</t>
  </si>
  <si>
    <t xml:space="preserve">Grant expires on schedule and the expiry is audited</t>
  </si>
  <si>
    <t xml:space="preserve">NB-058</t>
  </si>
  <si>
    <t xml:space="preserve">Subscription vs permission state separation</t>
  </si>
  <si>
    <t xml:space="preserve">Subscription-unavailable modules appear only in Catalog/Plan/Setup with historical data still readable; permission-restricted ones vanish entirely.</t>
  </si>
  <si>
    <t xml:space="preserve">DENT-06,DENT-07,DERM-04,DERM-07</t>
  </si>
  <si>
    <t xml:space="preserve">NB-008, NB-054</t>
  </si>
  <si>
    <t xml:space="preserve">Both states verified; ending a trial leaves historical data readable</t>
  </si>
  <si>
    <t xml:space="preserve">NB-059</t>
  </si>
  <si>
    <t xml:space="preserve">Staff &amp; Access screen</t>
  </si>
  <si>
    <t xml:space="preserve">Staff list, status, scope summary, last-seen and role chips.</t>
  </si>
  <si>
    <t xml:space="preserve">NB-049, NB-045</t>
  </si>
  <si>
    <t xml:space="preserve">Screen matches the wireframe; every action permission-gated</t>
  </si>
  <si>
    <t xml:space="preserve">NB-060</t>
  </si>
  <si>
    <t xml:space="preserve">E07 Clinic Setup &amp; Administration</t>
  </si>
  <si>
    <t xml:space="preserve">Setup</t>
  </si>
  <si>
    <t xml:space="preserve">Guided clinic setup wizard — skippable and resumable</t>
  </si>
  <si>
    <t xml:space="preserve">Welcome, clinic profile, and the remaining steps. Every step can be skipped and resumed; fully self-serve with no support intervention.</t>
  </si>
  <si>
    <t xml:space="preserve">CAD-01,SYS-21,NFR-18</t>
  </si>
  <si>
    <t xml:space="preserve">NB-261, NB-017</t>
  </si>
  <si>
    <t xml:space="preserve">A new clinic goes live unaided; closing the wizard mid-way and returning resumes at the same step</t>
  </si>
  <si>
    <t xml:space="preserve">NB-061</t>
  </si>
  <si>
    <t xml:space="preserve">Charge head / price master management</t>
  </si>
  <si>
    <t xml:space="preserve">Effective-dated service codes, categories, INR/SAR prices, GST/VAT rates, package eligibility and active flag.</t>
  </si>
  <si>
    <t xml:space="preserve">CAD-04</t>
  </si>
  <si>
    <t xml:space="preserve">Reproduces the wireframe's 24 charge heads with effective-dated pricing</t>
  </si>
  <si>
    <t xml:space="preserve">NB-062</t>
  </si>
  <si>
    <t xml:space="preserve">Simple policy settings</t>
  </si>
  <si>
    <t xml:space="preserve">Clinic-level operational policies exposed as plain settings, not a rules engine.</t>
  </si>
  <si>
    <t xml:space="preserve">CAD-06</t>
  </si>
  <si>
    <t xml:space="preserve">Policy changes take effect without a redeploy and are audited</t>
  </si>
  <si>
    <t xml:space="preserve">NB-063</t>
  </si>
  <si>
    <t xml:space="preserve">Consent &amp; privacy notice contact settings</t>
  </si>
  <si>
    <t xml:space="preserve">Contact details only — the template library itself lives in Compliance &amp; Audit.</t>
  </si>
  <si>
    <t xml:space="preserve">CAD-08</t>
  </si>
  <si>
    <t xml:space="preserve">NB-240</t>
  </si>
  <si>
    <t xml:space="preserve">Only contact fields are editable here; the library is reachable but not duplicated</t>
  </si>
  <si>
    <t xml:space="preserve">NB-064</t>
  </si>
  <si>
    <t xml:space="preserve">Clinic schedule &amp; calendar administration</t>
  </si>
  <si>
    <t xml:space="preserve">Working hours, visit-type durations, holidays and clinic-wide calendar rules.</t>
  </si>
  <si>
    <t xml:space="preserve">CAD-05</t>
  </si>
  <si>
    <t xml:space="preserve">Visit-type durations drive slot generation; holidays block booking</t>
  </si>
  <si>
    <t xml:space="preserve">NB-065</t>
  </si>
  <si>
    <t xml:space="preserve">Shift timings &amp; attendance</t>
  </si>
  <si>
    <t xml:space="preserve">Staff shift patterns and attendance capture.</t>
  </si>
  <si>
    <t xml:space="preserve">CAD-09</t>
  </si>
  <si>
    <t xml:space="preserve">NB-092</t>
  </si>
  <si>
    <t xml:space="preserve">Shift roster drives the payroll export; attendance editable with audit</t>
  </si>
  <si>
    <t xml:space="preserve">NB-066</t>
  </si>
  <si>
    <t xml:space="preserve">Simple payroll export</t>
  </si>
  <si>
    <t xml:space="preserve">CSV of days, hours, salary and notes with optional PF/ESI columns. There is deliberately no payroll engine.</t>
  </si>
  <si>
    <t xml:space="preserve">CSV opens in Excel without cleanup; no calculation engine is built</t>
  </si>
  <si>
    <t xml:space="preserve">NB-067</t>
  </si>
  <si>
    <t xml:space="preserve">Tenant subscription &amp; plan self-service</t>
  </si>
  <si>
    <t xml:space="preserve">Current plan, usage against limits, and upgrade or downgrade taking effect in under five minutes with no data loss.</t>
  </si>
  <si>
    <t xml:space="preserve">CAD-13,SYS-20</t>
  </si>
  <si>
    <t xml:space="preserve">Phase 3</t>
  </si>
  <si>
    <t xml:space="preserve">NB-008, NB-269</t>
  </si>
  <si>
    <t xml:space="preserve">Plan change completes under 5 minutes; no data is lost in either direction</t>
  </si>
  <si>
    <t xml:space="preserve">NB-068</t>
  </si>
  <si>
    <t xml:space="preserve">Self-serve data import &amp; export</t>
  </si>
  <si>
    <t xml:space="preserve">Import wizard and full export without support involvement.</t>
  </si>
  <si>
    <t xml:space="preserve">SYS-23,NFR-18</t>
  </si>
  <si>
    <t xml:space="preserve">NB-003, NB-071</t>
  </si>
  <si>
    <t xml:space="preserve">Import dry-runs before writing; export completes unaided</t>
  </si>
  <si>
    <t xml:space="preserve">NB-069</t>
  </si>
  <si>
    <t xml:space="preserve">Setup completeness checklist</t>
  </si>
  <si>
    <t xml:space="preserve">The clinic sees what is still outstanding — price master, WhatsApp number, screen pairing — with a direct route to each.</t>
  </si>
  <si>
    <t xml:space="preserve">CAD-01,RCP-14,CAD-07</t>
  </si>
  <si>
    <t xml:space="preserve">Checklist state derives from real configuration, never a manual tick</t>
  </si>
  <si>
    <t xml:space="preserve">NB-070</t>
  </si>
  <si>
    <t xml:space="preserve">Facility &amp; licence registry</t>
  </si>
  <si>
    <t xml:space="preserve">Clinic facility record, licence numbers and registration identifiers used on invoices and claim packs.</t>
  </si>
  <si>
    <t xml:space="preserve">CMP-11,BIL-11</t>
  </si>
  <si>
    <t xml:space="preserve">Licence number is available to the claim pack and invoice generators</t>
  </si>
  <si>
    <t xml:space="preserve">NB-071</t>
  </si>
  <si>
    <t xml:space="preserve">E08 Patient Records &amp; Registration</t>
  </si>
  <si>
    <t xml:space="preserve">Patients</t>
  </si>
  <si>
    <t xml:space="preserve">Patient registration &amp; demographics</t>
  </si>
  <si>
    <t xml:space="preserve">Multi-script names, phone, DOB, gender, guardian, address and national ID (Aadhaar / Iqama) handling.</t>
  </si>
  <si>
    <t xml:space="preserve">PAT-01</t>
  </si>
  <si>
    <t xml:space="preserve">Reception</t>
  </si>
  <si>
    <t xml:space="preserve">NB-003, NB-013</t>
  </si>
  <si>
    <t xml:space="preserve">Arabic and Devanagari names store, search and print correctly</t>
  </si>
  <si>
    <t xml:space="preserve">NB-072</t>
  </si>
  <si>
    <t xml:space="preserve">Duplicate detection &amp; supervised merge</t>
  </si>
  <si>
    <t xml:space="preserve">Fuzzy match on registration; merge preserves every encounter and invoice and is reversible.</t>
  </si>
  <si>
    <t xml:space="preserve">Merge is reversible for 30 days and fully audited</t>
  </si>
  <si>
    <t xml:space="preserve">NB-073</t>
  </si>
  <si>
    <t xml:space="preserve">Patient search &amp; directory</t>
  </si>
  <si>
    <t xml:space="preserve">Fast search by phone, name, token or MRN across scripts, scoped by role.</t>
  </si>
  <si>
    <t xml:space="preserve">Reception,Doctor,Nurse</t>
  </si>
  <si>
    <t xml:space="preserve">p95 search under 300ms on 200k patients</t>
  </si>
  <si>
    <t xml:space="preserve">NB-074</t>
  </si>
  <si>
    <t xml:space="preserve">Patient 360 context drawer</t>
  </si>
  <si>
    <t xml:space="preserve">Identity, allergies, chronic conditions, active packages, outstanding balance, last visit.</t>
  </si>
  <si>
    <t xml:space="preserve">GP-02</t>
  </si>
  <si>
    <t xml:space="preserve">Doctor,Nurse,Reception</t>
  </si>
  <si>
    <t xml:space="preserve">NB-071, NB-051</t>
  </si>
  <si>
    <t xml:space="preserve">Opens under 500ms; allergy banner always visible</t>
  </si>
  <si>
    <t xml:space="preserve">NB-075</t>
  </si>
  <si>
    <t xml:space="preserve">Patient document &amp; report attachments</t>
  </si>
  <si>
    <t xml:space="preserve">Upload, virus scan, thumbnail and retention policy; feeds External Reports.</t>
  </si>
  <si>
    <t xml:space="preserve">SYS-18</t>
  </si>
  <si>
    <t xml:space="preserve">NB-071, NB-292</t>
  </si>
  <si>
    <t xml:space="preserve">Malicious file rejected; files encrypted at rest with the tenant key</t>
  </si>
  <si>
    <t xml:space="preserve">NB-076</t>
  </si>
  <si>
    <t xml:space="preserve">Secure file delivery via expiring link</t>
  </si>
  <si>
    <t xml:space="preserve">A file is never sent into an open chat. Delivery is always an expiring, access-logged link.</t>
  </si>
  <si>
    <t xml:space="preserve">SYS-18,PAT-13</t>
  </si>
  <si>
    <t xml:space="preserve">Reception,Doctor,Patient</t>
  </si>
  <si>
    <t xml:space="preserve">NB-292</t>
  </si>
  <si>
    <t xml:space="preserve">No attachment is ever posted inline; link expires and every access is logged</t>
  </si>
  <si>
    <t xml:space="preserve">NB-077</t>
  </si>
  <si>
    <t xml:space="preserve">Chronic condition &amp; problem list</t>
  </si>
  <si>
    <t xml:space="preserve">Carried forward between encounters and driving chronic-review due lists.</t>
  </si>
  <si>
    <t xml:space="preserve">Chronic review due list is derived, not manually maintained</t>
  </si>
  <si>
    <t xml:space="preserve">NB-078</t>
  </si>
  <si>
    <t xml:space="preserve">Patient data export &amp; erasure execution</t>
  </si>
  <si>
    <t xml:space="preserve">Subject-access export and erasure honouring clinical retention and legal hold.</t>
  </si>
  <si>
    <t xml:space="preserve">CMP-03,PAT-14,NFR-07</t>
  </si>
  <si>
    <t xml:space="preserve">NB-238, NB-071</t>
  </si>
  <si>
    <t xml:space="preserve">Export delivered within 72h as an expiring link; erasure respects statutory retention</t>
  </si>
  <si>
    <t xml:space="preserve">NB-079</t>
  </si>
  <si>
    <t xml:space="preserve">Source tagging &amp; attribution capture</t>
  </si>
  <si>
    <t xml:space="preserve">One source tag per visit, never a dual axis. Feeds the owner's where-patients-come-from view.</t>
  </si>
  <si>
    <t xml:space="preserve">OWN-02,MKT-04</t>
  </si>
  <si>
    <t xml:space="preserve">Exactly one source tag per visit is enforced at write time</t>
  </si>
  <si>
    <t xml:space="preserve">NB-080</t>
  </si>
  <si>
    <t xml:space="preserve">E09 Caregiver, Family &amp; Guardianship</t>
  </si>
  <si>
    <t xml:space="preserve">Family</t>
  </si>
  <si>
    <t xml:space="preserve">One WhatsApp number, whole family</t>
  </si>
  <si>
    <t xml:space="preserve">A single member number shows no picker at all; multi-member numbers gain one. Booking stays within the six-tap budget.</t>
  </si>
  <si>
    <t xml:space="preserve">CGV-01,PAT-03</t>
  </si>
  <si>
    <t xml:space="preserve">NB-201, NB-071</t>
  </si>
  <si>
    <t xml:space="preserve">Single-member numbers never see a picker; booking completes in six taps or fewer</t>
  </si>
  <si>
    <t xml:space="preserve">NB-081</t>
  </si>
  <si>
    <t xml:space="preserve">Add family member with consent capture</t>
  </si>
  <si>
    <t xml:space="preserve">Five-step in-chat flow ending in explicit consent for that member.</t>
  </si>
  <si>
    <t xml:space="preserve">CGV-02</t>
  </si>
  <si>
    <t xml:space="preserve">NB-080, NB-242</t>
  </si>
  <si>
    <t xml:space="preserve">Member cannot be added without recorded consent; each step is resumable</t>
  </si>
  <si>
    <t xml:space="preserve">NB-082</t>
  </si>
  <si>
    <t xml:space="preserve">Minor &amp; guardian handling with age-18 handover</t>
  </si>
  <si>
    <t xml:space="preserve">Turning 18 automatically raises a guardian-access review task and moves consent to the patient.</t>
  </si>
  <si>
    <t xml:space="preserve">CGV-03,PED-06,CMP-04</t>
  </si>
  <si>
    <t xml:space="preserve">Age-18 transition fires automatically; consent stored separately per guardian</t>
  </si>
  <si>
    <t xml:space="preserve">NB-083</t>
  </si>
  <si>
    <t xml:space="preserve">Proxy booking, check-in &amp; queue updates</t>
  </si>
  <si>
    <t xml:space="preserve">A caregiver books and checks in for another member; reminders always name the actual patient.</t>
  </si>
  <si>
    <t xml:space="preserve">CGV-04</t>
  </si>
  <si>
    <t xml:space="preserve">NB-080, NB-202</t>
  </si>
  <si>
    <t xml:space="preserve">Reminders name the patient, never the caregiver</t>
  </si>
  <si>
    <t xml:space="preserve">NB-084</t>
  </si>
  <si>
    <t xml:space="preserve">Dual delivery of visit instructions</t>
  </si>
  <si>
    <t xml:space="preserve">Instructions reach both the patient and the nominated caregiver.</t>
  </si>
  <si>
    <t xml:space="preserve">CGV-05</t>
  </si>
  <si>
    <t xml:space="preserve">Both recipients receive the message; delivery state tracked per recipient</t>
  </si>
  <si>
    <t xml:space="preserve">NB-085</t>
  </si>
  <si>
    <t xml:space="preserve">Proxy revocation &amp; scope change</t>
  </si>
  <si>
    <t xml:space="preserve">A patient can revoke or narrow a caregiver's access at any time.</t>
  </si>
  <si>
    <t xml:space="preserve">CGV-06</t>
  </si>
  <si>
    <t xml:space="preserve">Revocation takes effect immediately across every surface and is audited</t>
  </si>
  <si>
    <t xml:space="preserve">NB-086</t>
  </si>
  <si>
    <t xml:space="preserve">Family appointment batching</t>
  </si>
  <si>
    <t xml:space="preserve">Booking several family members into adjacent slots, degrading honestly when only some are free.</t>
  </si>
  <si>
    <t xml:space="preserve">CGV-07</t>
  </si>
  <si>
    <t xml:space="preserve">Partial availability is stated explicitly rather than silently dropping a member</t>
  </si>
  <si>
    <t xml:space="preserve">NB-087</t>
  </si>
  <si>
    <t xml:space="preserve">Elderly-parent care alerts</t>
  </si>
  <si>
    <t xml:space="preserve">Adult children receive care alerts for an elderly parent within the consented scope.</t>
  </si>
  <si>
    <t xml:space="preserve">CGV-09</t>
  </si>
  <si>
    <t xml:space="preserve">Alerts respect the consent scope and stop on revocation</t>
  </si>
  <si>
    <t xml:space="preserve">NB-088</t>
  </si>
  <si>
    <t xml:space="preserve">Family plan / package sharing</t>
  </si>
  <si>
    <t xml:space="preserve">Sharing package sessions across family members.</t>
  </si>
  <si>
    <t xml:space="preserve">CGV-10,PAT-24,CEO-15</t>
  </si>
  <si>
    <t xml:space="preserve">NB-153, NB-080</t>
  </si>
  <si>
    <t xml:space="preserve">Positioned as a booking and check-in convenience plan, never a clinical care contract</t>
  </si>
  <si>
    <t xml:space="preserve">NB-089</t>
  </si>
  <si>
    <t xml:space="preserve">Child marketing block across every module</t>
  </si>
  <si>
    <t xml:space="preserve">Child profiles never receive marketing, enforced pre-emptively at campaign check.</t>
  </si>
  <si>
    <t xml:space="preserve">DPO-09,CMP-04</t>
  </si>
  <si>
    <t xml:space="preserve">NB-053, NB-082</t>
  </si>
  <si>
    <t xml:space="preserve">Campaign send to a child profile is impossible; the block is enforced server-side</t>
  </si>
  <si>
    <t xml:space="preserve">E10 Queue, Scheduling &amp; Availability</t>
  </si>
  <si>
    <t xml:space="preserve">Scheduling</t>
  </si>
  <si>
    <t xml:space="preserve">Appointment scheduling engine</t>
  </si>
  <si>
    <t xml:space="preserve">Slot generation, doctor calendars, breaks, prayer time, leave and blocked slots.</t>
  </si>
  <si>
    <t xml:space="preserve">CAD-05,SYS-04</t>
  </si>
  <si>
    <t xml:space="preserve">No double-booking under concurrent booking load</t>
  </si>
  <si>
    <t xml:space="preserve">NB-091</t>
  </si>
  <si>
    <t xml:space="preserve">Doctor availability, leave &amp; block management</t>
  </si>
  <si>
    <t xml:space="preserve">Doctor-side supply management that supplements rather than replaces the appointment book.</t>
  </si>
  <si>
    <t xml:space="preserve">DOC-03,CAD-05</t>
  </si>
  <si>
    <t xml:space="preserve">Blocking a doctor warns about affected package sessions restricted to that doctor</t>
  </si>
  <si>
    <t xml:space="preserve">Roster, shifts, exceptions &amp; holidays</t>
  </si>
  <si>
    <t xml:space="preserve">Weekly roster with per-day exceptions and clinic holidays.</t>
  </si>
  <si>
    <t xml:space="preserve">CAD-05,CAD-09</t>
  </si>
  <si>
    <t xml:space="preserve">Exception overrides the roster for that date only</t>
  </si>
  <si>
    <t xml:space="preserve">NB-093</t>
  </si>
  <si>
    <t xml:space="preserve">Queue</t>
  </si>
  <si>
    <t xml:space="preserve">Token &amp; walk-in queue management</t>
  </si>
  <si>
    <t xml:space="preserve">Token issue, priority, reorder with mandatory reason and estimated wait.</t>
  </si>
  <si>
    <t xml:space="preserve">Token numbers unique per day per doctor; reorder audited</t>
  </si>
  <si>
    <t xml:space="preserve">NB-094</t>
  </si>
  <si>
    <t xml:space="preserve">Queue state machine</t>
  </si>
  <si>
    <t xml:space="preserve">Not arrived, checked in, waiting, vitals pending/done, in consultation, checkout pending, completed, no-show.</t>
  </si>
  <si>
    <t xml:space="preserve">Illegal transitions rejected; every transition audited</t>
  </si>
  <si>
    <t xml:space="preserve">NB-095</t>
  </si>
  <si>
    <t xml:space="preserve">Today / Arrivals screen</t>
  </si>
  <si>
    <t xml:space="preserve">Reception landing with arrivals, badges and quick check-in.</t>
  </si>
  <si>
    <t xml:space="preserve">NB-094, NB-017</t>
  </si>
  <si>
    <t xml:space="preserve">Matches the wireframe; live-updates without refresh</t>
  </si>
  <si>
    <t xml:space="preserve">NB-096</t>
  </si>
  <si>
    <t xml:space="preserve">Real-time queue sync</t>
  </si>
  <si>
    <t xml:space="preserve">All roles see the same queue state within two seconds, degrading to polling.</t>
  </si>
  <si>
    <t xml:space="preserve">2s propagation at 100 concurrent clients; fallback verified</t>
  </si>
  <si>
    <t xml:space="preserve">NB-097</t>
  </si>
  <si>
    <t xml:space="preserve">Cancellation, reschedule &amp; no-show handling</t>
  </si>
  <si>
    <t xml:space="preserve">Reason codes drawn from the shared reason list.</t>
  </si>
  <si>
    <t xml:space="preserve">NB-090, NB-011</t>
  </si>
  <si>
    <t xml:space="preserve">Reason mandatory; slot released immediately</t>
  </si>
  <si>
    <t xml:space="preserve">NB-098</t>
  </si>
  <si>
    <t xml:space="preserve">Smart overbooking protection</t>
  </si>
  <si>
    <t xml:space="preserve">Session caps count walk-ins and booked patients together; a full session is refused rather than silently overbooked.</t>
  </si>
  <si>
    <t xml:space="preserve">PAT-19</t>
  </si>
  <si>
    <t xml:space="preserve">Reception,Patient</t>
  </si>
  <si>
    <t xml:space="preserve">NB-090, NB-094</t>
  </si>
  <si>
    <t xml:space="preserve">Cap counts both intake paths; overbooking attempt is refused with a clear reason</t>
  </si>
  <si>
    <t xml:space="preserve">NB-099</t>
  </si>
  <si>
    <t xml:space="preserve">Waitlist &amp; auto-fill offers</t>
  </si>
  <si>
    <t xml:space="preserve">A freed slot is offered to the waitlist with a 15-minute expiry.</t>
  </si>
  <si>
    <t xml:space="preserve">PAT-07,SYS-06</t>
  </si>
  <si>
    <t xml:space="preserve">NB-090, NB-097</t>
  </si>
  <si>
    <t xml:space="preserve">Offer expires in 15 minutes and is re-offered in order; no double allocation</t>
  </si>
  <si>
    <t xml:space="preserve">NB-100</t>
  </si>
  <si>
    <t xml:space="preserve">Doctor delay broadcast ladder &amp; clear-delay</t>
  </si>
  <si>
    <t xml:space="preserve">Two-step confirm writing the delay then closing and appending to history, with a Clear delay action. Treated as operationally urgent — not held for a prayer window.</t>
  </si>
  <si>
    <t xml:space="preserve">RCP-04,SYS-03</t>
  </si>
  <si>
    <t xml:space="preserve">NB-094, NB-195</t>
  </si>
  <si>
    <t xml:space="preserve">Clear delay stops the announcement; delay broadcast bypasses the prayer-window hold</t>
  </si>
  <si>
    <t xml:space="preserve">NB-101</t>
  </si>
  <si>
    <t xml:space="preserve">Wait-time estimation</t>
  </si>
  <si>
    <t xml:space="preserve">Estimated wait derived from historical consultation durations per doctor.</t>
  </si>
  <si>
    <t xml:space="preserve">PAT-05</t>
  </si>
  <si>
    <t xml:space="preserve">Estimate within +/-25% on retrospective data</t>
  </si>
  <si>
    <t xml:space="preserve">NB-102</t>
  </si>
  <si>
    <t xml:space="preserve">E11 Clinical Workspace</t>
  </si>
  <si>
    <t xml:space="preserve">Clinical</t>
  </si>
  <si>
    <t xml:space="preserve">Consultation workspace shell &amp; session strip</t>
  </si>
  <si>
    <t xml:space="preserve">The doctor's primary screen. The session strip shows status before any detail.</t>
  </si>
  <si>
    <t xml:space="preserve">DOC-01</t>
  </si>
  <si>
    <t xml:space="preserve">NB-094, NB-074</t>
  </si>
  <si>
    <t xml:space="preserve">A full consultation completes without leaving the screen</t>
  </si>
  <si>
    <t xml:space="preserve">NB-103</t>
  </si>
  <si>
    <t xml:space="preserve">Clinical note capture &amp; templates</t>
  </si>
  <si>
    <t xml:space="preserve">Structured plus free-text notes, per-specialty templates, autosave.</t>
  </si>
  <si>
    <t xml:space="preserve">DOC-05</t>
  </si>
  <si>
    <t xml:space="preserve">No note loss on crash or lock; autosave every 10s</t>
  </si>
  <si>
    <t xml:space="preserve">NB-104</t>
  </si>
  <si>
    <t xml:space="preserve">Clinical note amendment &amp; versioning</t>
  </si>
  <si>
    <t xml:space="preserve">Signed notes are immutable; amendments append with reason and author.</t>
  </si>
  <si>
    <t xml:space="preserve">NB-103, NB-238</t>
  </si>
  <si>
    <t xml:space="preserve">Original text always retrievable; amendment reason mandatory</t>
  </si>
  <si>
    <t xml:space="preserve">NB-105</t>
  </si>
  <si>
    <t xml:space="preserve">Previous medicines &amp; treatment view</t>
  </si>
  <si>
    <t xml:space="preserve">Read before prescribing — prior therapy surfaced in the prescribing path.</t>
  </si>
  <si>
    <t xml:space="preserve">DOC-02,GP-06</t>
  </si>
  <si>
    <t xml:space="preserve">NB-102, NB-109</t>
  </si>
  <si>
    <t xml:space="preserve">Prior medication is visible without leaving the prescription pad</t>
  </si>
  <si>
    <t xml:space="preserve">NB-106</t>
  </si>
  <si>
    <t xml:space="preserve">Vitals capture &amp; charting</t>
  </si>
  <si>
    <t xml:space="preserve">Age-appropriate ranges with out-of-range flagging; latest weight feeds paediatric dosing.</t>
  </si>
  <si>
    <t xml:space="preserve">PED-05</t>
  </si>
  <si>
    <t xml:space="preserve">Nurse,Doctor</t>
  </si>
  <si>
    <t xml:space="preserve">NB-074, NB-094</t>
  </si>
  <si>
    <t xml:space="preserve">Abnormal values carry the critical clinical state; latest weight is exposed to the dose calculator</t>
  </si>
  <si>
    <t xml:space="preserve">NB-107</t>
  </si>
  <si>
    <t xml:space="preserve">Allergy register with graded severity</t>
  </si>
  <si>
    <t xml:space="preserve">Allergy registry with severity grading and a persistent banner.</t>
  </si>
  <si>
    <t xml:space="preserve">DERM-05</t>
  </si>
  <si>
    <t xml:space="preserve">Allergy banner always visible; severity grade drives warning strength</t>
  </si>
  <si>
    <t xml:space="preserve">NB-108</t>
  </si>
  <si>
    <t xml:space="preserve">Allergy hard-warning with mandatory override reason</t>
  </si>
  <si>
    <t xml:space="preserve">A conflicting prescription cannot be issued without a documented override reason.</t>
  </si>
  <si>
    <t xml:space="preserve">NB-107, NB-109</t>
  </si>
  <si>
    <t xml:space="preserve">Override is impossible without a reason; every override is audited</t>
  </si>
  <si>
    <t xml:space="preserve">NB-109</t>
  </si>
  <si>
    <t xml:space="preserve">Fast e-prescription pad</t>
  </si>
  <si>
    <t xml:space="preserve">The prescribing surface itself, built for speed.</t>
  </si>
  <si>
    <t xml:space="preserve">DOC-06,GP-06</t>
  </si>
  <si>
    <t xml:space="preserve">NB-102, NB-010</t>
  </si>
  <si>
    <t xml:space="preserve">A routine prescription completes within the target keystroke budget</t>
  </si>
  <si>
    <t xml:space="preserve">NB-110</t>
  </si>
  <si>
    <t xml:space="preserve">Generic-name prescribing preference — India</t>
  </si>
  <si>
    <t xml:space="preserve">Generic name printed first per the India NMC norm, brand permitted in brackets, search matches both.</t>
  </si>
  <si>
    <t xml:space="preserve">GP-05</t>
  </si>
  <si>
    <t xml:space="preserve">Generic-first print verified; search matches brand and generic</t>
  </si>
  <si>
    <t xml:space="preserve">NB-111</t>
  </si>
  <si>
    <t xml:space="preserve">Schedule H/H1 and SFDA controlled-substance rules</t>
  </si>
  <si>
    <t xml:space="preserve">India Schedule H/H1 caution applied automatically; KSA uses SFDA identifiers and controlled rules.</t>
  </si>
  <si>
    <t xml:space="preserve">NB-109, NB-010</t>
  </si>
  <si>
    <t xml:space="preserve">Correct rule set applies automatically by tenant region</t>
  </si>
  <si>
    <t xml:space="preserve">NB-112</t>
  </si>
  <si>
    <t xml:space="preserve">Weight-based paediatric dosing</t>
  </si>
  <si>
    <t xml:space="preserve">Dose calculated from the latest recorded weight, sourced from a validated rule set rather than ad-hoc UI arithmetic.</t>
  </si>
  <si>
    <t xml:space="preserve">NB-109, NB-106</t>
  </si>
  <si>
    <t xml:space="preserve">Dose derives from the latest recorded weight; the rule source is named and versioned</t>
  </si>
  <si>
    <t xml:space="preserve">NB-113</t>
  </si>
  <si>
    <t xml:space="preserve">Pregnancy &amp; lactation warnings</t>
  </si>
  <si>
    <t xml:space="preserve">Fires without requiring the Gynaecology profile to be enabled.</t>
  </si>
  <si>
    <t xml:space="preserve">GYN-03</t>
  </si>
  <si>
    <t xml:space="preserve">Warning fires for any patient of childbearing potential regardless of specialty profile</t>
  </si>
  <si>
    <t xml:space="preserve">NB-114</t>
  </si>
  <si>
    <t xml:space="preserve">Favourite Rx sets</t>
  </si>
  <si>
    <t xml:space="preserve">Saved prescription sets per doctor.</t>
  </si>
  <si>
    <t xml:space="preserve">GP-06</t>
  </si>
  <si>
    <t xml:space="preserve">Sets are per doctor with clinic defaults; applying a set still runs every safety check</t>
  </si>
  <si>
    <t xml:space="preserve">NB-115</t>
  </si>
  <si>
    <t xml:space="preserve">Diagnosis coding &amp; encounter timeline</t>
  </si>
  <si>
    <t xml:space="preserve">ICD-10 search and a chronological encounter history respecting row-level scope.</t>
  </si>
  <si>
    <t xml:space="preserve">NB-103, NB-010</t>
  </si>
  <si>
    <t xml:space="preserve">Coded diagnosis flows to reports; timeline paginates to five years</t>
  </si>
  <si>
    <t xml:space="preserve">NB-116</t>
  </si>
  <si>
    <t xml:space="preserve">Follow-up scheduling &amp; treatment-linked recall engine</t>
  </si>
  <si>
    <t xml:space="preserve">Recall driven by the treatment performed, feeding reminders and the front-desk callback list on a miss.</t>
  </si>
  <si>
    <t xml:space="preserve">PAT-20,DENT-06</t>
  </si>
  <si>
    <t xml:space="preserve">NB-090, NB-102, NB-308</t>
  </si>
  <si>
    <t xml:space="preserve">Recall is derived from the procedure; a 15-day miss routes to the callback list</t>
  </si>
  <si>
    <t xml:space="preserve">NB-117</t>
  </si>
  <si>
    <t xml:space="preserve">Print &amp; share visit outputs</t>
  </si>
  <si>
    <t xml:space="preserve">Prescription, summary and instructions printed or shared, always via the secure link path.</t>
  </si>
  <si>
    <t xml:space="preserve">DOC-11,SYS-18</t>
  </si>
  <si>
    <t xml:space="preserve">NB-103, NB-076</t>
  </si>
  <si>
    <t xml:space="preserve">Output carries clinic letterhead and doctor registration number</t>
  </si>
  <si>
    <t xml:space="preserve">NB-118</t>
  </si>
  <si>
    <t xml:space="preserve">Referral letters &amp; medical certificates</t>
  </si>
  <si>
    <t xml:space="preserve">Referral letter generation and medical / sick-leave certificates.</t>
  </si>
  <si>
    <t xml:space="preserve">GP-04,GP-07</t>
  </si>
  <si>
    <t xml:space="preserve">Generated PDF is valid in both regions and in all three languages</t>
  </si>
  <si>
    <t xml:space="preserve">NB-119</t>
  </si>
  <si>
    <t xml:space="preserve">Procedure consent capture &amp; signature</t>
  </si>
  <si>
    <t xml:space="preserve">Signed consent gates the procedure — it cannot proceed unsigned.</t>
  </si>
  <si>
    <t xml:space="preserve">DOC-09</t>
  </si>
  <si>
    <t xml:space="preserve">NB-102, NB-242</t>
  </si>
  <si>
    <t xml:space="preserve">Procedure cannot be started without a recorded signature</t>
  </si>
  <si>
    <t xml:space="preserve">NB-120</t>
  </si>
  <si>
    <t xml:space="preserve">Clinical settings per doctor and clinic</t>
  </si>
  <si>
    <t xml:space="preserve">Note defaults, favourite drugs, template management, consultation duration, dental numbering system.</t>
  </si>
  <si>
    <t xml:space="preserve">DENT-01</t>
  </si>
  <si>
    <t xml:space="preserve">Dental numbering is chosen once clinic-wide; storage stays FDI-keyed and switching loses no data</t>
  </si>
  <si>
    <t xml:space="preserve">NB-121</t>
  </si>
  <si>
    <t xml:space="preserve">E12 Specialty Workspaces</t>
  </si>
  <si>
    <t xml:space="preserve">Specialty</t>
  </si>
  <si>
    <t xml:space="preserve">Specialty profile framework &amp; entitlement gating</t>
  </si>
  <si>
    <t xml:space="preserve">Per-specialty workspaces switched on by profile and subscription; historical data stays readable when a trial ends.</t>
  </si>
  <si>
    <t xml:space="preserve">NB-103, NB-008</t>
  </si>
  <si>
    <t xml:space="preserve">Ending a trial locks new entry but leaves historical data readable</t>
  </si>
  <si>
    <t xml:space="preserve">NB-122</t>
  </si>
  <si>
    <t xml:space="preserve">Dental chart — FDI storage with selectable display numbering</t>
  </si>
  <si>
    <t xml:space="preserve">Numbering chosen once clinic-wide; storage always keyed by FDI so switching loses no data. Includes supernumerary teeth.</t>
  </si>
  <si>
    <t xml:space="preserve">NB-121, NB-032</t>
  </si>
  <si>
    <t xml:space="preserve">Switching numbering system loses no data; supernumerary teeth are representable</t>
  </si>
  <si>
    <t xml:space="preserve">NB-123</t>
  </si>
  <si>
    <t xml:space="preserve">Tooth-linked radiograph library</t>
  </si>
  <si>
    <t xml:space="preserve">Radiographs linked to a tooth and reachable directly from the chart.</t>
  </si>
  <si>
    <t xml:space="preserve">DENT-02</t>
  </si>
  <si>
    <t xml:space="preserve">NB-122, NB-075</t>
  </si>
  <si>
    <t xml:space="preserve">A radiograph opens from the tooth it belongs to in one tap</t>
  </si>
  <si>
    <t xml:space="preserve">NB-124</t>
  </si>
  <si>
    <t xml:space="preserve">Implant &amp; crown staging with lab work</t>
  </si>
  <si>
    <t xml:space="preserve">Stage order shown as dashed outline plus superscript — form, not a new colour.</t>
  </si>
  <si>
    <t xml:space="preserve">DENT-05</t>
  </si>
  <si>
    <t xml:space="preserve">Stage order is conveyed without introducing a colour outside the palette</t>
  </si>
  <si>
    <t xml:space="preserve">NB-125</t>
  </si>
  <si>
    <t xml:space="preserve">Orthodontic plans with auto-scheduled adjustments</t>
  </si>
  <si>
    <t xml:space="preserve">Monthly adjustments scheduled through the recall engine; a 15-day miss routes to the front-desk callback list.</t>
  </si>
  <si>
    <t xml:space="preserve">DENT-06,PAT-20</t>
  </si>
  <si>
    <t xml:space="preserve">NB-122, NB-116</t>
  </si>
  <si>
    <t xml:space="preserve">Adjustments auto-schedule; missed adjustment appears on the callback list</t>
  </si>
  <si>
    <t xml:space="preserve">NB-126</t>
  </si>
  <si>
    <t xml:space="preserve">Dental treatment plan, estimate, approval &amp; booking</t>
  </si>
  <si>
    <t xml:space="preserve">Extends the price-transparency estimate flow into a staged dental plan.</t>
  </si>
  <si>
    <t xml:space="preserve">DENT-07,BIL-07</t>
  </si>
  <si>
    <t xml:space="preserve">NB-122, NB-170</t>
  </si>
  <si>
    <t xml:space="preserve">Estimate converts to an approved plan and then to bookings without re-entry</t>
  </si>
  <si>
    <t xml:space="preserve">NB-127</t>
  </si>
  <si>
    <t xml:space="preserve">Per-tooth timeline</t>
  </si>
  <si>
    <t xml:space="preserve">Everything ever done to a tooth — procedures, radiographs, medicines, materials — one tap from the chart. Roadmap state, not a purchasable upsell.</t>
  </si>
  <si>
    <t xml:space="preserve">DENT-08</t>
  </si>
  <si>
    <t xml:space="preserve">Presented as a roadmap state and not offered for purchase</t>
  </si>
  <si>
    <t xml:space="preserve">NB-128</t>
  </si>
  <si>
    <t xml:space="preserve">Dermatology body map &amp; photo capture</t>
  </si>
  <si>
    <t xml:space="preserve">Fixed left-to-right anatomy with both ends labelled; photo series attached to a mapped site.</t>
  </si>
  <si>
    <t xml:space="preserve">DERM-04</t>
  </si>
  <si>
    <t xml:space="preserve">Body map does not mirror in Arabic and carries explicit end labels</t>
  </si>
  <si>
    <t xml:space="preserve">NB-129</t>
  </si>
  <si>
    <t xml:space="preserve">Dermatology reading appointment auto-creation</t>
  </si>
  <si>
    <t xml:space="preserve">The reading appointment is created with the order — never a second manual step.</t>
  </si>
  <si>
    <t xml:space="preserve">NB-128, NB-090</t>
  </si>
  <si>
    <t xml:space="preserve">Ordering creates the reading appointment atomically</t>
  </si>
  <si>
    <t xml:space="preserve">NB-130</t>
  </si>
  <si>
    <t xml:space="preserve">Photo follow-up reminders</t>
  </si>
  <si>
    <t xml:space="preserve">Timed photo requests back to the patient on the messaging channel.</t>
  </si>
  <si>
    <t xml:space="preserve">DERM-06,SYS-11</t>
  </si>
  <si>
    <t xml:space="preserve">Doctor,Patient</t>
  </si>
  <si>
    <t xml:space="preserve">NB-128, NB-197</t>
  </si>
  <si>
    <t xml:space="preserve">Reminder fires on schedule and the returned photo attaches to the correct site</t>
  </si>
  <si>
    <t xml:space="preserve">NB-131</t>
  </si>
  <si>
    <t xml:space="preserve">Paediatric vaccination register &amp; due lists</t>
  </si>
  <si>
    <t xml:space="preserve">Vaccines due, given, overdue and catch-up, from a versioned clinical source.</t>
  </si>
  <si>
    <t xml:space="preserve">PED-01,PED-08</t>
  </si>
  <si>
    <t xml:space="preserve">NB-121, NB-010</t>
  </si>
  <si>
    <t xml:space="preserve">Due and overdue derive from DOB and the regional schedule; content source is versioned</t>
  </si>
  <si>
    <t xml:space="preserve">NB-132</t>
  </si>
  <si>
    <t xml:space="preserve">Paediatric growth tracking &amp; faltering alerts</t>
  </si>
  <si>
    <t xml:space="preserve">Growth charts plotted; faltering alerts triggered by a validated growth service, never calculated in the UI.</t>
  </si>
  <si>
    <t xml:space="preserve">PED-03,PED-04</t>
  </si>
  <si>
    <t xml:space="preserve">NB-121, NB-024</t>
  </si>
  <si>
    <t xml:space="preserve">No growth percentile is computed client-side; the validated service is the only source</t>
  </si>
  <si>
    <t xml:space="preserve">NB-133</t>
  </si>
  <si>
    <t xml:space="preserve">Paediatric parent reminders reconciled to one message</t>
  </si>
  <si>
    <t xml:space="preserve">Vaccine and appointment reminders reconcile into a single parent message, never two.</t>
  </si>
  <si>
    <t xml:space="preserve">PED-02</t>
  </si>
  <si>
    <t xml:space="preserve">NB-131, NB-203</t>
  </si>
  <si>
    <t xml:space="preserve">Two due items on the same day produce exactly one message</t>
  </si>
  <si>
    <t xml:space="preserve">NB-134</t>
  </si>
  <si>
    <t xml:space="preserve">Paediatric child-friendly profile view</t>
  </si>
  <si>
    <t xml:space="preserve">Friendly avatar only, carrying no clinical data.</t>
  </si>
  <si>
    <t xml:space="preserve">PED-07</t>
  </si>
  <si>
    <t xml:space="preserve">No clinical value is rendered in the child-facing view</t>
  </si>
  <si>
    <t xml:space="preserve">NB-135</t>
  </si>
  <si>
    <t xml:space="preserve">Orthopaedics — X-ray attach, review flag &amp; fracture templates</t>
  </si>
  <si>
    <t xml:space="preserve">Imaging attached with a review flag plus fracture and injury note templates.</t>
  </si>
  <si>
    <t xml:space="preserve">ORTH-01,ORTH-02</t>
  </si>
  <si>
    <t xml:space="preserve">NB-121, NB-075</t>
  </si>
  <si>
    <t xml:space="preserve">Unreviewed imaging stays flagged until a clinician clears it</t>
  </si>
  <si>
    <t xml:space="preserve">NB-136</t>
  </si>
  <si>
    <t xml:space="preserve">Orthopaedics — physio session packages</t>
  </si>
  <si>
    <t xml:space="preserve">Physio delivered as tracked package sessions with automatic pre-session reminders.</t>
  </si>
  <si>
    <t xml:space="preserve">ORTH-03,PKG-12</t>
  </si>
  <si>
    <t xml:space="preserve">NB-153</t>
  </si>
  <si>
    <t xml:space="preserve">Each session auto-reminds the patient beforehand</t>
  </si>
  <si>
    <t xml:space="preserve">NB-137</t>
  </si>
  <si>
    <t xml:space="preserve">Gynaecology — pregnancy tracker</t>
  </si>
  <si>
    <t xml:space="preserve">LMP to EDD timeline with visit scheduling along it.</t>
  </si>
  <si>
    <t xml:space="preserve">GYN-01</t>
  </si>
  <si>
    <t xml:space="preserve">Timeline recalculates correctly when LMP is corrected</t>
  </si>
  <si>
    <t xml:space="preserve">NB-138</t>
  </si>
  <si>
    <t xml:space="preserve">Gynaecology — ultrasound report attach &amp; review</t>
  </si>
  <si>
    <t xml:space="preserve">Report attachment with a review state.</t>
  </si>
  <si>
    <t xml:space="preserve">GYN-02</t>
  </si>
  <si>
    <t xml:space="preserve">Report attaches to the correct encounter with a review flag</t>
  </si>
  <si>
    <t xml:space="preserve">NB-139</t>
  </si>
  <si>
    <t xml:space="preserve">ENT — endoscopy media, audiogram &amp; minor-procedure notes</t>
  </si>
  <si>
    <t xml:space="preserve">Endoscopy image/video attachment, audiogram entry and minor-procedure notes with consent.</t>
  </si>
  <si>
    <t xml:space="preserve">ENT-01,ENT-02,ENT-03</t>
  </si>
  <si>
    <t xml:space="preserve">Video attaches within the size policy; audiogram renders as a chart with a table view</t>
  </si>
  <si>
    <t xml:space="preserve">NB-140</t>
  </si>
  <si>
    <t xml:space="preserve">Ayurveda — Panchakarma day strip &amp; herbal formulations</t>
  </si>
  <si>
    <t xml:space="preserve">Day-strip therapy plan (time axis, never mirrored) and herbal formulation prescribing.</t>
  </si>
  <si>
    <t xml:space="preserve">AYU-02,AYU-03</t>
  </si>
  <si>
    <t xml:space="preserve">NB-121, NB-109</t>
  </si>
  <si>
    <t xml:space="preserve">Day strip does not mirror in Arabic; herbal formulations print correctly</t>
  </si>
  <si>
    <t xml:space="preserve">NB-141</t>
  </si>
  <si>
    <t xml:space="preserve">Homeopathy — remedy &amp; potency prescribing</t>
  </si>
  <si>
    <t xml:space="preserve">Remedy with potency selection in the prescription pad.</t>
  </si>
  <si>
    <t xml:space="preserve">HOM-02</t>
  </si>
  <si>
    <t xml:space="preserve">Potency notation prints correctly and is searchable</t>
  </si>
  <si>
    <t xml:space="preserve">NB-142</t>
  </si>
  <si>
    <t xml:space="preserve">E13 Nursing, Orders &amp; Triage</t>
  </si>
  <si>
    <t xml:space="preserve">Nursing</t>
  </si>
  <si>
    <t xml:space="preserve">Arrivals &amp; vitals worklist</t>
  </si>
  <si>
    <t xml:space="preserve">Nurse landing screen with the pending-vitals queue.</t>
  </si>
  <si>
    <t xml:space="preserve">Nurse</t>
  </si>
  <si>
    <t xml:space="preserve">NB-094, NB-106</t>
  </si>
  <si>
    <t xml:space="preserve">Matches the wireframe and updates live with queue state</t>
  </si>
  <si>
    <t xml:space="preserve">NB-143</t>
  </si>
  <si>
    <t xml:space="preserve">Priority patients &amp; urgent triage</t>
  </si>
  <si>
    <t xml:space="preserve">Priority flagging with mandatory reason and critical-state styling.</t>
  </si>
  <si>
    <t xml:space="preserve">NB-094, NB-011</t>
  </si>
  <si>
    <t xml:space="preserve">Urgent flag reorders the queue and alerts the doctor</t>
  </si>
  <si>
    <t xml:space="preserve">NB-144</t>
  </si>
  <si>
    <t xml:space="preserve">Clinical triage inbox</t>
  </si>
  <si>
    <t xml:space="preserve">Nurse-facing triage of inbound patient messages, separate from the reception inbox.</t>
  </si>
  <si>
    <t xml:space="preserve">NUR-05,RCP-11</t>
  </si>
  <si>
    <t xml:space="preserve">NB-197</t>
  </si>
  <si>
    <t xml:space="preserve">Clinical questions route to the nurse, not reception; escalation path is explicit</t>
  </si>
  <si>
    <t xml:space="preserve">NB-145</t>
  </si>
  <si>
    <t xml:space="preserve">Administration orders &amp; medication administration record</t>
  </si>
  <si>
    <t xml:space="preserve">Injection and infusion orders with administer, witness and refuse-with-reason.</t>
  </si>
  <si>
    <t xml:space="preserve">Administration record immutable; five-rights checks enforced</t>
  </si>
  <si>
    <t xml:space="preserve">NB-146</t>
  </si>
  <si>
    <t xml:space="preserve">Today's procedures worklist</t>
  </si>
  <si>
    <t xml:space="preserve">Scheduled procedures, prep checklists and completion capture.</t>
  </si>
  <si>
    <t xml:space="preserve">Completion posts a billable event</t>
  </si>
  <si>
    <t xml:space="preserve">NB-147</t>
  </si>
  <si>
    <t xml:space="preserve">Package session administration by nurse</t>
  </si>
  <si>
    <t xml:space="preserve">The nurse marks a session delivered, decrementing sessions owed atomically.</t>
  </si>
  <si>
    <t xml:space="preserve">PKG-10</t>
  </si>
  <si>
    <t xml:space="preserve">Decrement is atomic, auditable and cannot over-consume under concurrency</t>
  </si>
  <si>
    <t xml:space="preserve">NB-148</t>
  </si>
  <si>
    <t xml:space="preserve">Completed activity log</t>
  </si>
  <si>
    <t xml:space="preserve">The nurse's own read-only record of the day's completed work.</t>
  </si>
  <si>
    <t xml:space="preserve">Read-only and exportable for shift handover</t>
  </si>
  <si>
    <t xml:space="preserve">NB-149</t>
  </si>
  <si>
    <t xml:space="preserve">Task handoff &amp; escalation SLA</t>
  </si>
  <si>
    <t xml:space="preserve">Doctor-to-nurse tasks with acknowledgement and escalation when overdue.</t>
  </si>
  <si>
    <t xml:space="preserve">Unacknowledged critical task escalates within a configurable SLA</t>
  </si>
  <si>
    <t xml:space="preserve">NB-150</t>
  </si>
  <si>
    <t xml:space="preserve">E14 Treatment Packages</t>
  </si>
  <si>
    <t xml:space="preserve">Packages</t>
  </si>
  <si>
    <t xml:space="preserve">Package definition builder (6-step)</t>
  </si>
  <si>
    <t xml:space="preserve">Basic information, included items, pricing and savings, validity and eligibility, payment and refunds, preview and activate.</t>
  </si>
  <si>
    <t xml:space="preserve">Reproduces the wireframe package definitions end to end</t>
  </si>
  <si>
    <t xml:space="preserve">NB-151</t>
  </si>
  <si>
    <t xml:space="preserve">Package catalogue &amp; lifecycle states</t>
  </si>
  <si>
    <t xml:space="preserve">Draft, on sale, paused, retired, with version history for already-sold packages.</t>
  </si>
  <si>
    <t xml:space="preserve">Retiring a package does not affect sold instances</t>
  </si>
  <si>
    <t xml:space="preserve">NB-152</t>
  </si>
  <si>
    <t xml:space="preserve">Package sale flow (6-step)</t>
  </si>
  <si>
    <t xml:space="preserve">Patient, package, eligibility, review, payment, invoice and card.</t>
  </si>
  <si>
    <t xml:space="preserve">NB-150, NB-162</t>
  </si>
  <si>
    <t xml:space="preserve">Sale creates instance, invoice and correct tax lines for both regions</t>
  </si>
  <si>
    <t xml:space="preserve">Package instance &amp; session ledger</t>
  </si>
  <si>
    <t xml:space="preserve">Sessions owed, consumed and expired, with validity window and grace period.</t>
  </si>
  <si>
    <t xml:space="preserve">PKG-12</t>
  </si>
  <si>
    <t xml:space="preserve">Ledger reconciles; concurrent redemption cannot over-consume</t>
  </si>
  <si>
    <t xml:space="preserve">NB-154</t>
  </si>
  <si>
    <t xml:space="preserve">Session redemption booking &amp; counter rules</t>
  </si>
  <si>
    <t xml:space="preserve">Booking leaves the count unchanged; it decrements only on completed attendance.</t>
  </si>
  <si>
    <t xml:space="preserve">Nurse,Reception,Patient</t>
  </si>
  <si>
    <t xml:space="preserve">NB-153, NB-090</t>
  </si>
  <si>
    <t xml:space="preserve">A booked-but-not-attended session does not decrement the counter</t>
  </si>
  <si>
    <t xml:space="preserve">NB-155</t>
  </si>
  <si>
    <t xml:space="preserve">Doctor-restricted package eligibility</t>
  </si>
  <si>
    <t xml:space="preserve">A package restricted to a named doctor is affected when that doctor is blocked or on leave.</t>
  </si>
  <si>
    <t xml:space="preserve">PKG-02,DOC-03</t>
  </si>
  <si>
    <t xml:space="preserve">NB-153, NB-091</t>
  </si>
  <si>
    <t xml:space="preserve">Blocking a doctor warns about active packages restricted to them</t>
  </si>
  <si>
    <t xml:space="preserve">NB-156</t>
  </si>
  <si>
    <t xml:space="preserve">Payment plans at sale &amp; instalment auto-collection</t>
  </si>
  <si>
    <t xml:space="preserve">Instalment schedules created at sale with automatic collection.</t>
  </si>
  <si>
    <t xml:space="preserve">PKG-06,PKG-07</t>
  </si>
  <si>
    <t xml:space="preserve">NB-152, NB-168</t>
  </si>
  <si>
    <t xml:space="preserve">Failed instalment retries on a defined ladder and never double-charges</t>
  </si>
  <si>
    <t xml:space="preserve">NB-157</t>
  </si>
  <si>
    <t xml:space="preserve">Expiry ladder, grace period &amp; extension</t>
  </si>
  <si>
    <t xml:space="preserve">30/14/7-day warnings, grace handling and owner-approved extensions.</t>
  </si>
  <si>
    <t xml:space="preserve">PKG-13</t>
  </si>
  <si>
    <t xml:space="preserve">Owner,Patient</t>
  </si>
  <si>
    <t xml:space="preserve">NB-153, NB-308</t>
  </si>
  <si>
    <t xml:space="preserve">Expiry job idempotent; extension requires approval and is audited</t>
  </si>
  <si>
    <t xml:space="preserve">NB-158</t>
  </si>
  <si>
    <t xml:space="preserve">Progress view &amp; next-session nudges</t>
  </si>
  <si>
    <t xml:space="preserve">Patient-visible progress with automatic pre-session reminders.</t>
  </si>
  <si>
    <t xml:space="preserve">NB-153, NB-197</t>
  </si>
  <si>
    <t xml:space="preserve">Progress and next session are visible in the patient channel</t>
  </si>
  <si>
    <t xml:space="preserve">NB-159</t>
  </si>
  <si>
    <t xml:space="preserve">Transfer &amp; gifting of remaining sessions</t>
  </si>
  <si>
    <t xml:space="preserve">One transfer maximum, with the receiving party's consent.</t>
  </si>
  <si>
    <t xml:space="preserve">PKG-16</t>
  </si>
  <si>
    <t xml:space="preserve">A second transfer of the same instance is refused</t>
  </si>
  <si>
    <t xml:space="preserve">NB-160</t>
  </si>
  <si>
    <t xml:space="preserve">Package refunds &amp; pro-rata calculation</t>
  </si>
  <si>
    <t xml:space="preserve">Refund on unconsumed sessions with correct tax reversal.</t>
  </si>
  <si>
    <t xml:space="preserve">NB-153, NB-166</t>
  </si>
  <si>
    <t xml:space="preserve">Refund and tax reversal verified against finance test cases</t>
  </si>
  <si>
    <t xml:space="preserve">NB-161</t>
  </si>
  <si>
    <t xml:space="preserve">Package liability &amp; revenue recognition</t>
  </si>
  <si>
    <t xml:space="preserve">Sales, redemption, deferred versus recognised revenue and outstanding liability.</t>
  </si>
  <si>
    <t xml:space="preserve">PKG-17,PKG-18,OWN-08</t>
  </si>
  <si>
    <t xml:space="preserve">NB-153, NB-228</t>
  </si>
  <si>
    <t xml:space="preserve">Liability ties to the billing ledger to the paisa/halala</t>
  </si>
  <si>
    <t xml:space="preserve">NB-162</t>
  </si>
  <si>
    <t xml:space="preserve">E15 Billing, Tax &amp; Payments</t>
  </si>
  <si>
    <t xml:space="preserve">Billing</t>
  </si>
  <si>
    <t xml:space="preserve">Checkout &amp; invoice generation</t>
  </si>
  <si>
    <t xml:space="preserve">Line items, quantity, discounts, per-line tax and totals.</t>
  </si>
  <si>
    <t xml:space="preserve">NB-061, NB-094</t>
  </si>
  <si>
    <t xml:space="preserve">Invoice totals match the wireframe calculations exactly</t>
  </si>
  <si>
    <t xml:space="preserve">NB-163</t>
  </si>
  <si>
    <t xml:space="preserve">India GST engine</t>
  </si>
  <si>
    <t xml:space="preserve">CGST/SGST/IGST split, HSN/SAC codes, exempt clinical services and GST invoice format.</t>
  </si>
  <si>
    <t xml:space="preserve">SYS-09</t>
  </si>
  <si>
    <t xml:space="preserve">Validated against sample GST returns by a tax reviewer</t>
  </si>
  <si>
    <t xml:space="preserve">NB-164</t>
  </si>
  <si>
    <t xml:space="preserve">Saudi VAT &amp; ZATCA e-invoicing</t>
  </si>
  <si>
    <t xml:space="preserve">15% VAT, zero-rated cases, QR code, XML invoice and Phase-2 clearance integration.</t>
  </si>
  <si>
    <t xml:space="preserve">Passes the ZATCA compliance validator in sandbox</t>
  </si>
  <si>
    <t xml:space="preserve">NB-165</t>
  </si>
  <si>
    <t xml:space="preserve">Discounts, write-offs &amp; approval thresholds</t>
  </si>
  <si>
    <t xml:space="preserve">Permission-gated, with maker-checker above a configurable limit.</t>
  </si>
  <si>
    <t xml:space="preserve">NB-162, NB-056</t>
  </si>
  <si>
    <t xml:space="preserve">Staff without discount rights cannot apply one via the API either</t>
  </si>
  <si>
    <t xml:space="preserve">NB-166</t>
  </si>
  <si>
    <t xml:space="preserve">Refunds, credit notes &amp; cancellations</t>
  </si>
  <si>
    <t xml:space="preserve">Full and partial with tax reversal and a link to the original invoice.</t>
  </si>
  <si>
    <t xml:space="preserve">NB-162, NB-163, NB-164</t>
  </si>
  <si>
    <t xml:space="preserve">Credit note references the original; the ledger balances</t>
  </si>
  <si>
    <t xml:space="preserve">NB-167</t>
  </si>
  <si>
    <t xml:space="preserve">Payment capture — cash, card, UPI, Mada, wallets</t>
  </si>
  <si>
    <t xml:space="preserve">Region-specific methods with split payment support.</t>
  </si>
  <si>
    <t xml:space="preserve">Split payments across methods reconcile to the invoice total</t>
  </si>
  <si>
    <t xml:space="preserve">NB-168</t>
  </si>
  <si>
    <t xml:space="preserve">Payment gateway integration</t>
  </si>
  <si>
    <t xml:space="preserve">Tokenised, PCI-DSS SAQ-A scope, webhook reconciliation, idempotent capture.</t>
  </si>
  <si>
    <t xml:space="preserve">Integration</t>
  </si>
  <si>
    <t xml:space="preserve">No card data touches Nabd servers; a duplicate webhook is a no-op</t>
  </si>
  <si>
    <t xml:space="preserve">NB-169</t>
  </si>
  <si>
    <t xml:space="preserve">Prepaid payment links &amp; desk QR collection</t>
  </si>
  <si>
    <t xml:space="preserve">Prepaid link sent to the patient; the existing desk-counter QR collection path is left untouched.</t>
  </si>
  <si>
    <t xml:space="preserve">RCP-08,PAT-10</t>
  </si>
  <si>
    <t xml:space="preserve">NB-168, NB-197</t>
  </si>
  <si>
    <t xml:space="preserve">Link is prepaid-only; desk QR flow is unchanged and still reconciles</t>
  </si>
  <si>
    <t xml:space="preserve">NB-170</t>
  </si>
  <si>
    <t xml:space="preserve">Price transparency &amp; estimates</t>
  </si>
  <si>
    <t xml:space="preserve">A priced estimate sent over WhatsApp that converts to a bill in one tap.</t>
  </si>
  <si>
    <t xml:space="preserve">BIL-07</t>
  </si>
  <si>
    <t xml:space="preserve">NB-061, NB-197</t>
  </si>
  <si>
    <t xml:space="preserve">Estimate converts to an invoice without re-entry and the quoted price is honoured</t>
  </si>
  <si>
    <t xml:space="preserve">NB-171</t>
  </si>
  <si>
    <t xml:space="preserve">Dues list &amp; automatic follow-up</t>
  </si>
  <si>
    <t xml:space="preserve">Age in days with an automatic reminder that stops the moment payment lands.</t>
  </si>
  <si>
    <t xml:space="preserve">BIL-06</t>
  </si>
  <si>
    <t xml:space="preserve">NB-162, NB-308</t>
  </si>
  <si>
    <t xml:space="preserve">Reminder stops on payment with no lag; ageing matches the ledger</t>
  </si>
  <si>
    <t xml:space="preserve">NB-172</t>
  </si>
  <si>
    <t xml:space="preserve">Day close &amp; cash reconciliation</t>
  </si>
  <si>
    <t xml:space="preserve">Counter-wise collection, expected versus counted, variance reason and day lock.</t>
  </si>
  <si>
    <t xml:space="preserve">OWN-07</t>
  </si>
  <si>
    <t xml:space="preserve">A closed day is immutable; reopening requires owner approval and is audited</t>
  </si>
  <si>
    <t xml:space="preserve">NB-173</t>
  </si>
  <si>
    <t xml:space="preserve">End-of-day desk summary</t>
  </si>
  <si>
    <t xml:space="preserve">Reception's own close-of-day summary, derived from the same billing source as day close.</t>
  </si>
  <si>
    <t xml:space="preserve">RCP-12</t>
  </si>
  <si>
    <t xml:space="preserve">Figures derive from the same source view as day close and cannot diverge</t>
  </si>
  <si>
    <t xml:space="preserve">NB-174</t>
  </si>
  <si>
    <t xml:space="preserve">Invoice printing, PDF &amp; secure sharing</t>
  </si>
  <si>
    <t xml:space="preserve">Thermal and A4 layouts in all three languages, delivered via the secure link path.</t>
  </si>
  <si>
    <t xml:space="preserve">NB-162, NB-076</t>
  </si>
  <si>
    <t xml:space="preserve">Arabic invoice prints RTL correctly on both layouts</t>
  </si>
  <si>
    <t xml:space="preserve">NB-175</t>
  </si>
  <si>
    <t xml:space="preserve">Simple insurance claim export</t>
  </si>
  <si>
    <t xml:space="preserve">A claim pack assembled in under two minutes, requiring a valid licence number. Full claims via certified middleware are explicitly Phase 3 and Ayushman is out of scope.</t>
  </si>
  <si>
    <t xml:space="preserve">BIL-11,SYS-10,CMP-11</t>
  </si>
  <si>
    <t xml:space="preserve">NB-162, NB-070</t>
  </si>
  <si>
    <t xml:space="preserve">Claim pack builds in under two minutes; blocked with a clear reason when the licence has expired</t>
  </si>
  <si>
    <t xml:space="preserve">NB-176</t>
  </si>
  <si>
    <t xml:space="preserve">NPHIES eligibility-check-lite</t>
  </si>
  <si>
    <t xml:space="preserve">One-click coverage check shown on the patient row before billing. No live claim pipeline here.</t>
  </si>
  <si>
    <t xml:space="preserve">RCP-07,SYS-10</t>
  </si>
  <si>
    <t xml:space="preserve">Coverage result appears on the patient row before billing; no claim is submitted</t>
  </si>
  <si>
    <t xml:space="preserve">NB-177</t>
  </si>
  <si>
    <t xml:space="preserve">E16 Pharmacy</t>
  </si>
  <si>
    <t xml:space="preserve">Pharmacy</t>
  </si>
  <si>
    <t xml:space="preserve">Pharmacy mode configuration — external, hybrid, in-house</t>
  </si>
  <si>
    <t xml:space="preserve">Three modes with a published capability matrix; hybrid and in-house are paid tiers.</t>
  </si>
  <si>
    <t xml:space="preserve">CAD-11</t>
  </si>
  <si>
    <t xml:space="preserve">NB-008, NB-061</t>
  </si>
  <si>
    <t xml:space="preserve">Mode switch changes available capability exactly per the rules grid; downgrade makes the item master read-only with no new dispensing</t>
  </si>
  <si>
    <t xml:space="preserve">NB-178</t>
  </si>
  <si>
    <t xml:space="preserve">Small-shelf item master</t>
  </si>
  <si>
    <t xml:space="preserve">An item creatable in under a minute for clinics with a small shelf.</t>
  </si>
  <si>
    <t xml:space="preserve">PHR-12</t>
  </si>
  <si>
    <t xml:space="preserve">New item created in under a minute; becomes read-only when the mode is downgraded</t>
  </si>
  <si>
    <t xml:space="preserve">NB-179</t>
  </si>
  <si>
    <t xml:space="preserve">e-Rx dispensing queue</t>
  </si>
  <si>
    <t xml:space="preserve">A prescription appears in the dispensing queue within five seconds of consultation close, visible from billing.</t>
  </si>
  <si>
    <t xml:space="preserve">PHR-01</t>
  </si>
  <si>
    <t xml:space="preserve">NB-177, NB-109</t>
  </si>
  <si>
    <t xml:space="preserve">Prescription reaches the queue within five seconds of consultation close</t>
  </si>
  <si>
    <t xml:space="preserve">NB-180</t>
  </si>
  <si>
    <t xml:space="preserve">One-tap dispense &amp; bill via the Consumable category</t>
  </si>
  <si>
    <t xml:space="preserve">Dispensing raises a Consumable line on the single patient bill and decrements stock in one action.</t>
  </si>
  <si>
    <t xml:space="preserve">PHR-06,PHR-09</t>
  </si>
  <si>
    <t xml:space="preserve">NB-178, NB-162</t>
  </si>
  <si>
    <t xml:space="preserve">One bill, one tap, stock decremented atomically</t>
  </si>
  <si>
    <t xml:space="preserve">NB-181</t>
  </si>
  <si>
    <t xml:space="preserve">Full inventory with batch &amp; expiry, FEFO suggestion</t>
  </si>
  <si>
    <t xml:space="preserve">Every batch carries a number and expiry; earliest-expiry-first is suggested by default.</t>
  </si>
  <si>
    <t xml:space="preserve">PHR-03</t>
  </si>
  <si>
    <t xml:space="preserve">FEFO suggested by default; overriding it requires an explicit action</t>
  </si>
  <si>
    <t xml:space="preserve">NB-182</t>
  </si>
  <si>
    <t xml:space="preserve">Controlled-drug register</t>
  </si>
  <si>
    <t xml:space="preserve">Warning plus register entry — deliberately no hard block, since no registered pharmacist licence is assumed.</t>
  </si>
  <si>
    <t xml:space="preserve">PHR-04,CEO-27</t>
  </si>
  <si>
    <t xml:space="preserve">NB-178, NB-111</t>
  </si>
  <si>
    <t xml:space="preserve">Warning shown and register entry written; dispensing is not hard-blocked</t>
  </si>
  <si>
    <t xml:space="preserve">NB-183</t>
  </si>
  <si>
    <t xml:space="preserve">Low-stock &amp; expiry alerts to a named person</t>
  </si>
  <si>
    <t xml:space="preserve">Alerts go to one named person, never a mailing list.</t>
  </si>
  <si>
    <t xml:space="preserve">PHR-10</t>
  </si>
  <si>
    <t xml:space="preserve">NB-181, NB-308</t>
  </si>
  <si>
    <t xml:space="preserve">Alert recipient is a single named user; thresholds configurable</t>
  </si>
  <si>
    <t xml:space="preserve">NB-184</t>
  </si>
  <si>
    <t xml:space="preserve">WhatsApp refill reminders</t>
  </si>
  <si>
    <t xml:space="preserve">Timing derived from the dispensed quantity. A controlled item is barred from self-serve refill.</t>
  </si>
  <si>
    <t xml:space="preserve">PHR-05</t>
  </si>
  <si>
    <t xml:space="preserve">NB-179, NB-197</t>
  </si>
  <si>
    <t xml:space="preserve">Refill timing derives from dispensed quantity; controlled items cannot self-refill</t>
  </si>
  <si>
    <t xml:space="preserve">NB-185</t>
  </si>
  <si>
    <t xml:space="preserve">Bought-where adherence capture</t>
  </si>
  <si>
    <t xml:space="preserve">Asked at pre-consult in every mode. Capture only, consent-worded for this purpose, never monetised.</t>
  </si>
  <si>
    <t xml:space="preserve">PHR-11,CEO-25</t>
  </si>
  <si>
    <t xml:space="preserve">Consent wording is purpose-specific; the data has no commercial export path</t>
  </si>
  <si>
    <t xml:space="preserve">NB-186</t>
  </si>
  <si>
    <t xml:space="preserve">Over-the-counter sale without a patient record</t>
  </si>
  <si>
    <t xml:space="preserve">A counter sale creates neither a patient record nor a token.</t>
  </si>
  <si>
    <t xml:space="preserve">OTC sale produces an invoice with no patient record or token created</t>
  </si>
  <si>
    <t xml:space="preserve">NB-187</t>
  </si>
  <si>
    <t xml:space="preserve">Pharmacy stock reporting &amp; valuation</t>
  </si>
  <si>
    <t xml:space="preserve">Stock on hand, movement, expiry write-off and valuation.</t>
  </si>
  <si>
    <t xml:space="preserve">PHR-03,PHR-10</t>
  </si>
  <si>
    <t xml:space="preserve">NB-181, NB-228</t>
  </si>
  <si>
    <t xml:space="preserve">Valuation reconciles with purchase and dispense history</t>
  </si>
  <si>
    <t xml:space="preserve">NB-188</t>
  </si>
  <si>
    <t xml:space="preserve">E17 Messaging Platform &amp; WhatsApp Infrastructure</t>
  </si>
  <si>
    <t xml:space="preserve">Messaging</t>
  </si>
  <si>
    <t xml:space="preserve">Managed WhatsApp Business onboarding (SYS-25)</t>
  </si>
  <si>
    <t xml:space="preserve">The clinic never touches Meta Business Manager. Nabd completes Meta verification on the clinic's behalf as a fully managed service.</t>
  </si>
  <si>
    <t xml:space="preserve">SYS-25,CAD-07,SSA-03</t>
  </si>
  <si>
    <t xml:space="preserve">NB-007, NB-261</t>
  </si>
  <si>
    <t xml:space="preserve">A clinic goes live on WhatsApp without ever opening Meta Business Manager</t>
  </si>
  <si>
    <t xml:space="preserve">NB-189</t>
  </si>
  <si>
    <t xml:space="preserve">Shared trial number to owned number migration</t>
  </si>
  <si>
    <t xml:space="preserve">Shared number on trial, the clinic's own number once paid, migrating without losing conversation history.</t>
  </si>
  <si>
    <t xml:space="preserve">SSA-03,CAD-07</t>
  </si>
  <si>
    <t xml:space="preserve">Platform,Owner</t>
  </si>
  <si>
    <t xml:space="preserve">Migration preserves history and in-flight conversations</t>
  </si>
  <si>
    <t xml:space="preserve">NB-190</t>
  </si>
  <si>
    <t xml:space="preserve">Template library, approval state &amp; quality rating</t>
  </si>
  <si>
    <t xml:space="preserve">Template registration, approval tracking and per-number quality monitoring.</t>
  </si>
  <si>
    <t xml:space="preserve">CAD-07,SSA-03</t>
  </si>
  <si>
    <t xml:space="preserve">Rejected templates surface to the clinic with the reason and a fix path</t>
  </si>
  <si>
    <t xml:space="preserve">NB-191</t>
  </si>
  <si>
    <t xml:space="preserve">Variable-fill-only template enforcement</t>
  </si>
  <si>
    <t xml:space="preserve">Fixed template text is not editable anywhere in the product; only variable slots accept input.</t>
  </si>
  <si>
    <t xml:space="preserve">CMP-07</t>
  </si>
  <si>
    <t xml:space="preserve">NB-190, NB-018</t>
  </si>
  <si>
    <t xml:space="preserve">Fixed text is physically uneditable in every send path, including the API</t>
  </si>
  <si>
    <t xml:space="preserve">NB-192</t>
  </si>
  <si>
    <t xml:space="preserve">24-hour session window governance</t>
  </si>
  <si>
    <t xml:space="preserve">Composer accepts free text only while the window is open; a closing-soon countdown then an expired state that permits approved templates only.</t>
  </si>
  <si>
    <t xml:space="preserve">NB-018, NB-190</t>
  </si>
  <si>
    <t xml:space="preserve">Free text is refused once the window expires; countdown is accurate to the second</t>
  </si>
  <si>
    <t xml:space="preserve">NB-193</t>
  </si>
  <si>
    <t xml:space="preserve">Delivery-state tracking &amp; SMS fallback</t>
  </si>
  <si>
    <t xml:space="preserve">Queued, delivered, read, failed, SMS fallback queued and blocked. Fallback fires automatically on failure.</t>
  </si>
  <si>
    <t xml:space="preserve">SYS-01</t>
  </si>
  <si>
    <t xml:space="preserve">Reception,Platform</t>
  </si>
  <si>
    <t xml:space="preserve">NB-188, NB-007</t>
  </si>
  <si>
    <t xml:space="preserve">Failure triggers SMS fallback automatically and the state is visible per message</t>
  </si>
  <si>
    <t xml:space="preserve">NB-194</t>
  </si>
  <si>
    <t xml:space="preserve">India DLT registration &amp; messaging compliance</t>
  </si>
  <si>
    <t xml:space="preserve">India-specific DLT template registration, entirely absent for KSA tenants.</t>
  </si>
  <si>
    <t xml:space="preserve">DLT-compliant templates registered; the whole surface is absent for KSA tenants</t>
  </si>
  <si>
    <t xml:space="preserve">NB-195</t>
  </si>
  <si>
    <t xml:space="preserve">Prayer-window send reconciliation</t>
  </si>
  <si>
    <t xml:space="preserve">Routine sends defer around prayer windows; operationally urgent broadcasts such as doctor delay are not held.</t>
  </si>
  <si>
    <t xml:space="preserve">SYS-03</t>
  </si>
  <si>
    <t xml:space="preserve">Routine reminder defers past the window; a delay broadcast sends immediately</t>
  </si>
  <si>
    <t xml:space="preserve">NB-196</t>
  </si>
  <si>
    <t xml:space="preserve">Consent gate on every outbound send</t>
  </si>
  <si>
    <t xml:space="preserve">Consent is enforced at send time and takes effect across every surface in under a minute.</t>
  </si>
  <si>
    <t xml:space="preserve">SYS-02,CMP-02,NFR-08</t>
  </si>
  <si>
    <t xml:space="preserve">NB-053, NB-193</t>
  </si>
  <si>
    <t xml:space="preserve">Withdrawing consent suppresses an already-queued reminder within one minute</t>
  </si>
  <si>
    <t xml:space="preserve">Shared clinic WhatsApp inbox with canned replies</t>
  </si>
  <si>
    <t xml:space="preserve">Reception's shared inbox with conversation list, ageing chips, unread counts and canned replies.</t>
  </si>
  <si>
    <t xml:space="preserve">RCP-11</t>
  </si>
  <si>
    <t xml:space="preserve">NB-018, NB-192, NB-193</t>
  </si>
  <si>
    <t xml:space="preserve">Conversations age visibly past the threshold; canned replies respect the session window</t>
  </si>
  <si>
    <t xml:space="preserve">NB-198</t>
  </si>
  <si>
    <t xml:space="preserve">Clinic-branded personal messaging</t>
  </si>
  <si>
    <t xml:space="preserve">Messages carry the clinic's identity rather than a generic platform identity.</t>
  </si>
  <si>
    <t xml:space="preserve">PAT-17</t>
  </si>
  <si>
    <t xml:space="preserve">Clinic name and branding appear on the patient's device</t>
  </si>
  <si>
    <t xml:space="preserve">NB-199</t>
  </si>
  <si>
    <t xml:space="preserve">Campaign engine with child &amp; consent pre-checks</t>
  </si>
  <si>
    <t xml:space="preserve">Campaign sends pre-filtered against child profiles and consent state before dispatch.</t>
  </si>
  <si>
    <t xml:space="preserve">DPO-09,CMP-04,SYS-02</t>
  </si>
  <si>
    <t xml:space="preserve">A campaign cannot dispatch to a child profile or a withdrawn consent</t>
  </si>
  <si>
    <t xml:space="preserve">NB-200</t>
  </si>
  <si>
    <t xml:space="preserve">Messaging concurrency &amp; provider capacity model</t>
  </si>
  <si>
    <t xml:space="preserve">Patient-side concurrency is unbounded and each conversation is stateless; the real ceiling is provider capacity (80 msg/s per verified number, 1000 conversations/24h).</t>
  </si>
  <si>
    <t xml:space="preserve">Load test confirms stateless scaling; provider rate limits are respected with backpressure, not message loss</t>
  </si>
  <si>
    <t xml:space="preserve">NB-201</t>
  </si>
  <si>
    <t xml:space="preserve">E18 Patient WhatsApp Surface</t>
  </si>
  <si>
    <t xml:space="preserve">WhatsApp zero-form registration</t>
  </si>
  <si>
    <t xml:space="preserve">A patient registers entirely in chat with no form to fill.</t>
  </si>
  <si>
    <t xml:space="preserve">NB-197, NB-071</t>
  </si>
  <si>
    <t xml:space="preserve">Registration completes in chat with no web form and no app install</t>
  </si>
  <si>
    <t xml:space="preserve">NB-202</t>
  </si>
  <si>
    <t xml:space="preserve">Guided booking within a six-tap budget</t>
  </si>
  <si>
    <t xml:space="preserve">The booking journey is explicitly tap-budgeted.</t>
  </si>
  <si>
    <t xml:space="preserve">PAT-03</t>
  </si>
  <si>
    <t xml:space="preserve">NB-201, NB-090</t>
  </si>
  <si>
    <t xml:space="preserve">Booking completes within the stated tap budget on a single-member number</t>
  </si>
  <si>
    <t xml:space="preserve">NB-203</t>
  </si>
  <si>
    <t xml:space="preserve">Layered reminders with confirmation cascade</t>
  </si>
  <si>
    <t xml:space="preserve">Staged reminders that escalate only when unconfirmed.</t>
  </si>
  <si>
    <t xml:space="preserve">PAT-04</t>
  </si>
  <si>
    <t xml:space="preserve">NB-202, NB-196</t>
  </si>
  <si>
    <t xml:space="preserve">Confirmation stops the cascade immediately; no duplicate reminder is sent</t>
  </si>
  <si>
    <t xml:space="preserve">NB-204</t>
  </si>
  <si>
    <t xml:space="preserve">Live queue &amp; your-turn tracking</t>
  </si>
  <si>
    <t xml:space="preserve">The patient follows their position and estimated turn from chat.</t>
  </si>
  <si>
    <t xml:space="preserve">NB-202, NB-096</t>
  </si>
  <si>
    <t xml:space="preserve">Position updates track the clinic queue within the sync budget</t>
  </si>
  <si>
    <t xml:space="preserve">NB-205</t>
  </si>
  <si>
    <t xml:space="preserve">Cancel with one-tap reason</t>
  </si>
  <si>
    <t xml:space="preserve">Cancellation captures a reason from the shared reason list in one tap.</t>
  </si>
  <si>
    <t xml:space="preserve">PAT-06,SYS-07</t>
  </si>
  <si>
    <t xml:space="preserve">NB-202, NB-011</t>
  </si>
  <si>
    <t xml:space="preserve">Reason captured in one tap; the slot releases immediately</t>
  </si>
  <si>
    <t xml:space="preserve">NB-206</t>
  </si>
  <si>
    <t xml:space="preserve">One-tap reschedule</t>
  </si>
  <si>
    <t xml:space="preserve">Rescheduling without leaving the conversation.</t>
  </si>
  <si>
    <t xml:space="preserve">PAT-08</t>
  </si>
  <si>
    <t xml:space="preserve">Reschedule respects the same availability rules as reception booking</t>
  </si>
  <si>
    <t xml:space="preserve">NB-207</t>
  </si>
  <si>
    <t xml:space="preserve">Arrival check-in — QR or in-chat</t>
  </si>
  <si>
    <t xml:space="preserve">The patient checks in by scanning at the desk or from the conversation.</t>
  </si>
  <si>
    <t xml:space="preserve">PAT-09</t>
  </si>
  <si>
    <t xml:space="preserve">NB-202, NB-094</t>
  </si>
  <si>
    <t xml:space="preserve">Both paths produce the same queue state transition</t>
  </si>
  <si>
    <t xml:space="preserve">NB-208</t>
  </si>
  <si>
    <t xml:space="preserve">Waitlist join &amp; auto-fill offer acceptance</t>
  </si>
  <si>
    <t xml:space="preserve">The patient joins a waitlist and accepts a freed slot within the offer window.</t>
  </si>
  <si>
    <t xml:space="preserve">PAT-07</t>
  </si>
  <si>
    <t xml:space="preserve">NB-099, NB-202</t>
  </si>
  <si>
    <t xml:space="preserve">Offer acceptance after expiry is refused cleanly</t>
  </si>
  <si>
    <t xml:space="preserve">NB-209</t>
  </si>
  <si>
    <t xml:space="preserve">Payments, deposits &amp; refunds in chat</t>
  </si>
  <si>
    <t xml:space="preserve">In-conversation payment, deposit and refund handling.</t>
  </si>
  <si>
    <t xml:space="preserve">PAT-10</t>
  </si>
  <si>
    <t xml:space="preserve">Payment in chat reconciles to the same invoice as a desk payment</t>
  </si>
  <si>
    <t xml:space="preserve">NB-210</t>
  </si>
  <si>
    <t xml:space="preserve">Buy a package in WhatsApp</t>
  </si>
  <si>
    <t xml:space="preserve">Package purchase completed in conversation, with the tax-correct invoice delivered in-thread.</t>
  </si>
  <si>
    <t xml:space="preserve">PAT-21,PKG-04,SYS-09</t>
  </si>
  <si>
    <t xml:space="preserve">NB-209, NB-152</t>
  </si>
  <si>
    <t xml:space="preserve">GST or ZATCA invoice delivered in-thread with the correct refund-policy text</t>
  </si>
  <si>
    <t xml:space="preserve">NB-211</t>
  </si>
  <si>
    <t xml:space="preserve">Package session tracking for the patient</t>
  </si>
  <si>
    <t xml:space="preserve">Remaining sessions, validity and next appointment visible in chat.</t>
  </si>
  <si>
    <t xml:space="preserve">PAT-22,PKG-12</t>
  </si>
  <si>
    <t xml:space="preserve">NB-153, NB-201</t>
  </si>
  <si>
    <t xml:space="preserve">Counts match the clinic-side ledger exactly</t>
  </si>
  <si>
    <t xml:space="preserve">NB-212</t>
  </si>
  <si>
    <t xml:space="preserve">Post-visit follow-up check-ins</t>
  </si>
  <si>
    <t xml:space="preserve">A day-after check-in that routes an unwell reply to the clinic.</t>
  </si>
  <si>
    <t xml:space="preserve">PAT-11</t>
  </si>
  <si>
    <t xml:space="preserve">NB-144, NB-196</t>
  </si>
  <si>
    <t xml:space="preserve">A not-well reply escalates to the clinical triage inbox, not reception</t>
  </si>
  <si>
    <t xml:space="preserve">NB-213</t>
  </si>
  <si>
    <t xml:space="preserve">Receive prescriptions &amp; reports securely</t>
  </si>
  <si>
    <t xml:space="preserve">Documents delivered as expiring links, never posted inline.</t>
  </si>
  <si>
    <t xml:space="preserve">PAT-13,SYS-18</t>
  </si>
  <si>
    <t xml:space="preserve">NB-076, NB-201</t>
  </si>
  <si>
    <t xml:space="preserve">No document is ever posted into open chat; every access is logged</t>
  </si>
  <si>
    <t xml:space="preserve">NB-214</t>
  </si>
  <si>
    <t xml:space="preserve">My data &amp; privacy self-service</t>
  </si>
  <si>
    <t xml:space="preserve">The patient-facing privacy menu — request data, correct data, withdraw consent.</t>
  </si>
  <si>
    <t xml:space="preserve">PAT-14,CMP-03</t>
  </si>
  <si>
    <t xml:space="preserve">NB-243, NB-201</t>
  </si>
  <si>
    <t xml:space="preserve">Requests raise a tracked case with the statutory timer; the menu itself gates Phase 2 items</t>
  </si>
  <si>
    <t xml:space="preserve">NB-215</t>
  </si>
  <si>
    <t xml:space="preserve">Multilingual patient interaction</t>
  </si>
  <si>
    <t xml:space="preserve">English, Hindi, Hinglish, Tamil, Malayalam, Kannada, Bengali and Arabic in the patient channel.</t>
  </si>
  <si>
    <t xml:space="preserve">NB-201, NB-030</t>
  </si>
  <si>
    <t xml:space="preserve">Language switch persists per patient and applies to templates and free text</t>
  </si>
  <si>
    <t xml:space="preserve">NB-216</t>
  </si>
  <si>
    <t xml:space="preserve">Treatment-linked recall in the patient channel</t>
  </si>
  <si>
    <t xml:space="preserve">Recall messages generated by the clinical recall engine reach the patient with the right timing.</t>
  </si>
  <si>
    <t xml:space="preserve">PAT-20</t>
  </si>
  <si>
    <t xml:space="preserve">NB-116, NB-196</t>
  </si>
  <si>
    <t xml:space="preserve">Recall arrives on schedule and stops when the appointment is booked</t>
  </si>
  <si>
    <t xml:space="preserve">NB-217</t>
  </si>
  <si>
    <t xml:space="preserve">Google-review prompt</t>
  </si>
  <si>
    <t xml:space="preserve">A post-visit review prompt that never gates or filters reviews.</t>
  </si>
  <si>
    <t xml:space="preserve">PAT-26,CEO-14</t>
  </si>
  <si>
    <t xml:space="preserve">No filtering or gating logic exists; the prompt sends patients to Google ungated</t>
  </si>
  <si>
    <t xml:space="preserve">NB-218</t>
  </si>
  <si>
    <t xml:space="preserve">Referral rewards</t>
  </si>
  <si>
    <t xml:space="preserve">Patient referral with reward tracking.</t>
  </si>
  <si>
    <t xml:space="preserve">PAT-25</t>
  </si>
  <si>
    <t xml:space="preserve">Reward attribution is auditable and cannot be self-referred</t>
  </si>
  <si>
    <t xml:space="preserve">NB-219</t>
  </si>
  <si>
    <t xml:space="preserve">Family &amp; chronic-care memberships</t>
  </si>
  <si>
    <t xml:space="preserve">A booking and check-in convenience plan, explicitly not a clinical care contract.</t>
  </si>
  <si>
    <t xml:space="preserve">PAT-24,CEO-15,CGV-10</t>
  </si>
  <si>
    <t xml:space="preserve">Product copy never implies clinical care obligations; legal review sign-off obtained</t>
  </si>
  <si>
    <t xml:space="preserve">NB-220</t>
  </si>
  <si>
    <t xml:space="preserve">Teleconsultation booking &amp; join</t>
  </si>
  <si>
    <t xml:space="preserve">Booked as a visit type with a partner deep-link. Explicitly a Phase 3 partner integration.</t>
  </si>
  <si>
    <t xml:space="preserve">PAT-16</t>
  </si>
  <si>
    <t xml:space="preserve">Patient,Doctor</t>
  </si>
  <si>
    <t xml:space="preserve">Booked as a visit type; the join path is a partner deep-link, not a built video stack</t>
  </si>
  <si>
    <t xml:space="preserve">NB-221</t>
  </si>
  <si>
    <t xml:space="preserve">E19 Aggregator &amp; Demand</t>
  </si>
  <si>
    <t xml:space="preserve">Aggregator</t>
  </si>
  <si>
    <t xml:space="preserve">Unified Nabd number &amp; invisible routing</t>
  </si>
  <si>
    <t xml:space="preserve">One shared number routes a patient to the right clinic without the patient choosing infrastructure.</t>
  </si>
  <si>
    <t xml:space="preserve">AGG-01</t>
  </si>
  <si>
    <t xml:space="preserve">NB-188, NB-202</t>
  </si>
  <si>
    <t xml:space="preserve">A patient reaching the shared number lands with the right clinic without naming it</t>
  </si>
  <si>
    <t xml:space="preserve">NB-222</t>
  </si>
  <si>
    <t xml:space="preserve">Emergency phrase interception</t>
  </si>
  <si>
    <t xml:space="preserve">Emergency phrases stop the flow and direct the patient to 108 (India) or 997 (KSA). No clinic is suggested.</t>
  </si>
  <si>
    <t xml:space="preserve">AGG-02,CEO-14</t>
  </si>
  <si>
    <t xml:space="preserve">Emergency phrases in every supported language halt routing and show emergency guidance only</t>
  </si>
  <si>
    <t xml:space="preserve">NB-223</t>
  </si>
  <si>
    <t xml:space="preserve">Word-to-specialty matching</t>
  </si>
  <si>
    <t xml:space="preserve">Keyword matching to a specialty only — no clinical interpretation and no triage. Unmatched requests go to the nearest clinic's reception.</t>
  </si>
  <si>
    <t xml:space="preserve">NB-221, NB-222</t>
  </si>
  <si>
    <t xml:space="preserve">No symptom interpretation occurs; unmatched input routes to reception rather than guessing</t>
  </si>
  <si>
    <t xml:space="preserve">NB-224</t>
  </si>
  <si>
    <t xml:space="preserve">Clinic discovery, distance &amp; slot surfacing</t>
  </si>
  <si>
    <t xml:space="preserve">Nearby clinics with distance, next slot, price band, insurance and doctor-availability flags.</t>
  </si>
  <si>
    <t xml:space="preserve">NB-221, NB-090</t>
  </si>
  <si>
    <t xml:space="preserve">Results are ordered by a stated rule; no paid placement is possible</t>
  </si>
  <si>
    <t xml:space="preserve">NB-225</t>
  </si>
  <si>
    <t xml:space="preserve">Verified-visit rating system</t>
  </si>
  <si>
    <t xml:space="preserve">A rating comes only from a completed, paid visit on the platform. Hidden until ten ratings, then shown as New on Nabd.</t>
  </si>
  <si>
    <t xml:space="preserve">AGG-05,CEO-14</t>
  </si>
  <si>
    <t xml:space="preserve">NB-224, NB-172</t>
  </si>
  <si>
    <t xml:space="preserve">A rating cannot be created without a completed paid visit; fewer than ten ratings shows New on Nabd</t>
  </si>
  <si>
    <t xml:space="preserve">NB-226</t>
  </si>
  <si>
    <t xml:space="preserve">Separate Nabd and Google rating display</t>
  </si>
  <si>
    <t xml:space="preserve">The verified Nabd score and the Google rating are shown separately and never blended into one number.</t>
  </si>
  <si>
    <t xml:space="preserve">AGG-05,CEO-14,PAT-26</t>
  </si>
  <si>
    <t xml:space="preserve">The two scores are never averaged or combined anywhere in the product</t>
  </si>
  <si>
    <t xml:space="preserve">NB-227</t>
  </si>
  <si>
    <t xml:space="preserve">Coverage versus demand analytics</t>
  </si>
  <si>
    <t xml:space="preserve">Patient demand on the unified number against actual clinic coverage — the sales signal for territory expansion.</t>
  </si>
  <si>
    <t xml:space="preserve">AGG-04</t>
  </si>
  <si>
    <t xml:space="preserve">NB-221, NB-270</t>
  </si>
  <si>
    <t xml:space="preserve">Unserved demand by territory is reportable and feeds the sales pipeline</t>
  </si>
  <si>
    <t xml:space="preserve">NB-228</t>
  </si>
  <si>
    <t xml:space="preserve">E20 Owner Insights &amp; Reports</t>
  </si>
  <si>
    <t xml:space="preserve">Reports</t>
  </si>
  <si>
    <t xml:space="preserve">Reporting read model &amp; nightly aggregation</t>
  </si>
  <si>
    <t xml:space="preserve">Reports never touch the operational database.</t>
  </si>
  <si>
    <t xml:space="preserve">NB-003, NB-007</t>
  </si>
  <si>
    <t xml:space="preserve">Every report reads exclusively from the read model</t>
  </si>
  <si>
    <t xml:space="preserve">NB-229</t>
  </si>
  <si>
    <t xml:space="preserve">Daily money dashboard</t>
  </si>
  <si>
    <t xml:space="preserve">The owner's today view, opening in under two seconds on mobile.</t>
  </si>
  <si>
    <t xml:space="preserve">NB-228, NB-025</t>
  </si>
  <si>
    <t xml:space="preserve">Opens in under two seconds on a mid-range mobile device</t>
  </si>
  <si>
    <t xml:space="preserve">NB-230</t>
  </si>
  <si>
    <t xml:space="preserve">Where patients come from</t>
  </si>
  <si>
    <t xml:space="preserve">One source tag per visit, never a dual axis.</t>
  </si>
  <si>
    <t xml:space="preserve">NB-228, NB-079</t>
  </si>
  <si>
    <t xml:space="preserve">Single-axis source attribution; no dual-axis chart is produced</t>
  </si>
  <si>
    <t xml:space="preserve">NB-231</t>
  </si>
  <si>
    <t xml:space="preserve">Staff collection &amp; performance</t>
  </si>
  <si>
    <t xml:space="preserve">Coaching data for a small team, not surveillance. A staff member sees only their own row.</t>
  </si>
  <si>
    <t xml:space="preserve">OWN-04</t>
  </si>
  <si>
    <t xml:space="preserve">NB-228, NB-051</t>
  </si>
  <si>
    <t xml:space="preserve">A staff member can see only their own row; the access rule is stated on the surface</t>
  </si>
  <si>
    <t xml:space="preserve">NB-232</t>
  </si>
  <si>
    <t xml:space="preserve">Package liability reporting</t>
  </si>
  <si>
    <t xml:space="preserve">Sales, redemption and revenue recognition for packages.</t>
  </si>
  <si>
    <t xml:space="preserve">PKG-18,OWN-08,PKG-17</t>
  </si>
  <si>
    <t xml:space="preserve">Figures tie to the package ledger</t>
  </si>
  <si>
    <t xml:space="preserve">NB-233</t>
  </si>
  <si>
    <t xml:space="preserve">Billing leakage alerts</t>
  </si>
  <si>
    <t xml:space="preserve">An alert list with a configurable threshold, always visible.</t>
  </si>
  <si>
    <t xml:space="preserve">OWN-09,BIL-06</t>
  </si>
  <si>
    <t xml:space="preserve">NB-228, NB-171</t>
  </si>
  <si>
    <t xml:space="preserve">Threshold configurable; untagged and unbilled visits surface as alerts</t>
  </si>
  <si>
    <t xml:space="preserve">NB-234</t>
  </si>
  <si>
    <t xml:space="preserve">Repeat-patient &amp; recall value</t>
  </si>
  <si>
    <t xml:space="preserve">Aggregated retention reporting only — no individual patient list.</t>
  </si>
  <si>
    <t xml:space="preserve">OWN-03,OWN-05</t>
  </si>
  <si>
    <t xml:space="preserve">No individual patient list is exposed anywhere in this view</t>
  </si>
  <si>
    <t xml:space="preserve">NB-235</t>
  </si>
  <si>
    <t xml:space="preserve">Rule-based no-show prediction</t>
  </si>
  <si>
    <t xml:space="preserve">A transparent rule-based signal, not an opaque model.</t>
  </si>
  <si>
    <t xml:space="preserve">OWN-05</t>
  </si>
  <si>
    <t xml:space="preserve">The rule is stated on the surface and is auditable</t>
  </si>
  <si>
    <t xml:space="preserve">NB-236</t>
  </si>
  <si>
    <t xml:space="preserve">Doctor punctuality statistic</t>
  </si>
  <si>
    <t xml:space="preserve">Owner-only aggregate of delay events, average declared minutes and same-day repeats. No per-patient log; neither doctor nor reception can see it.</t>
  </si>
  <si>
    <t xml:space="preserve">RCP-04</t>
  </si>
  <si>
    <t xml:space="preserve">NB-100, NB-228</t>
  </si>
  <si>
    <t xml:space="preserve">Absent for doctor and reception roles; the access rule is printed on the surface</t>
  </si>
  <si>
    <t xml:space="preserve">NB-237</t>
  </si>
  <si>
    <t xml:space="preserve">Scheduled report delivery &amp; export</t>
  </si>
  <si>
    <t xml:space="preserve">CSV and PDF export plus emailed schedules, watermarked and access-logged.</t>
  </si>
  <si>
    <t xml:space="preserve">NB-228, NB-027</t>
  </si>
  <si>
    <t xml:space="preserve">Every export writes an audit event with row counts</t>
  </si>
  <si>
    <t xml:space="preserve">NB-238</t>
  </si>
  <si>
    <t xml:space="preserve">E21 Compliance, Consent &amp; Data Protection</t>
  </si>
  <si>
    <t xml:space="preserve">Compliance</t>
  </si>
  <si>
    <t xml:space="preserve">Immutable audit trail service</t>
  </si>
  <si>
    <t xml:space="preserve">Who, what, when and before/after for every PHI and financial action, append-only.</t>
  </si>
  <si>
    <t xml:space="preserve">Tamper attempt detected; audit survives application-level deletion</t>
  </si>
  <si>
    <t xml:space="preserve">NB-239</t>
  </si>
  <si>
    <t xml:space="preserve">Audit log surface for the clinic</t>
  </si>
  <si>
    <t xml:space="preserve">Owner-facing searchable audit view with export.</t>
  </si>
  <si>
    <t xml:space="preserve">SYS-13,CAD-07</t>
  </si>
  <si>
    <t xml:space="preserve">Searchable by user, patient, date and action; export is itself audited</t>
  </si>
  <si>
    <t xml:space="preserve">Consent &amp; notice template library</t>
  </si>
  <si>
    <t xml:space="preserve">A new tenant goes live with correct market templates without writing anything.</t>
  </si>
  <si>
    <t xml:space="preserve">CMP-01,CAD-08</t>
  </si>
  <si>
    <t xml:space="preserve">NB-003, NB-261</t>
  </si>
  <si>
    <t xml:space="preserve">A newly provisioned tenant has correct market templates on day one</t>
  </si>
  <si>
    <t xml:space="preserve">NB-241</t>
  </si>
  <si>
    <t xml:space="preserve">Consent as a hard gate with owner evidence</t>
  </si>
  <si>
    <t xml:space="preserve">Consent blocks the action, not just the UI, and the owner can evidence it.</t>
  </si>
  <si>
    <t xml:space="preserve">CMP-02,NFR-08</t>
  </si>
  <si>
    <t xml:space="preserve">NB-053, NB-240</t>
  </si>
  <si>
    <t xml:space="preserve">Sending is blocked on every channel when consent is absent; the owner can produce evidence</t>
  </si>
  <si>
    <t xml:space="preserve">NB-242</t>
  </si>
  <si>
    <t xml:space="preserve">Consent registry &amp; versioned audit</t>
  </si>
  <si>
    <t xml:space="preserve">Every consent version recorded, including signed DPA versions.</t>
  </si>
  <si>
    <t xml:space="preserve">DPO-01,CEO-17</t>
  </si>
  <si>
    <t xml:space="preserve">NB-240, NB-238</t>
  </si>
  <si>
    <t xml:space="preserve">Every consent and DPA version is retrievable with its timestamp</t>
  </si>
  <si>
    <t xml:space="preserve">NB-243</t>
  </si>
  <si>
    <t xml:space="preserve">Patient rights self-service &amp; request queue</t>
  </si>
  <si>
    <t xml:space="preserve">Patient-initiated rights requests landing in a tracked clinic queue.</t>
  </si>
  <si>
    <t xml:space="preserve">CMP-03,PAT-14</t>
  </si>
  <si>
    <t xml:space="preserve">A request raises a tracked case visible to the clinic and the DPO</t>
  </si>
  <si>
    <t xml:space="preserve">NB-244</t>
  </si>
  <si>
    <t xml:space="preserve">DSR workflow engine with statutory timers</t>
  </si>
  <si>
    <t xml:space="preserve">A tracked case with a 90-day DPDP timer for India and a closure letter on completion.</t>
  </si>
  <si>
    <t xml:space="preserve">DPO-02,CMP-03,NFR-07</t>
  </si>
  <si>
    <t xml:space="preserve">NB-243, NB-308</t>
  </si>
  <si>
    <t xml:space="preserve">Timer runs to the correct statutory deadline per region; closure letter generated automatically</t>
  </si>
  <si>
    <t xml:space="preserve">NB-245</t>
  </si>
  <si>
    <t xml:space="preserve">Retention auto-rules with pre-delete notice</t>
  </si>
  <si>
    <t xml:space="preserve">Default schedules active from day one with no setup, plus a pre-delete notice. The full policy engine is Phase 2.</t>
  </si>
  <si>
    <t xml:space="preserve">CMP-05,DPO-05</t>
  </si>
  <si>
    <t xml:space="preserve">NB-255, NB-308</t>
  </si>
  <si>
    <t xml:space="preserve">Defaults are active on day one; nothing is deleted without prior notice</t>
  </si>
  <si>
    <t xml:space="preserve">NB-246</t>
  </si>
  <si>
    <t xml:space="preserve">Retention &amp; deletion policy engine</t>
  </si>
  <si>
    <t xml:space="preserve">The configurable policy engine behind the defaults.</t>
  </si>
  <si>
    <t xml:space="preserve">DPO-05</t>
  </si>
  <si>
    <t xml:space="preserve">Policies are configurable per data class and never override a legal hold</t>
  </si>
  <si>
    <t xml:space="preserve">NB-247</t>
  </si>
  <si>
    <t xml:space="preserve">Medical record retention &amp; legal hold</t>
  </si>
  <si>
    <t xml:space="preserve">Region-specific retention clocks with legal hold overriding erasure.</t>
  </si>
  <si>
    <t xml:space="preserve">NFR-07,DPO-05</t>
  </si>
  <si>
    <t xml:space="preserve">The retention job never deletes a record under legal hold; 3-year export retention honoured</t>
  </si>
  <si>
    <t xml:space="preserve">NB-248</t>
  </si>
  <si>
    <t xml:space="preserve">Breach-notification runbook &amp; clinic-facing ops</t>
  </si>
  <si>
    <t xml:space="preserve">Severity assessment and the regulatory notification workflow, exposed to the clinic.</t>
  </si>
  <si>
    <t xml:space="preserve">CMP-06</t>
  </si>
  <si>
    <t xml:space="preserve">NB-293</t>
  </si>
  <si>
    <t xml:space="preserve">Runbook exercised in a tabletop; notification deadlines documented per region</t>
  </si>
  <si>
    <t xml:space="preserve">NB-249</t>
  </si>
  <si>
    <t xml:space="preserve">Platform breach management operations</t>
  </si>
  <si>
    <t xml:space="preserve">The platform-side incident and breach operations console.</t>
  </si>
  <si>
    <t xml:space="preserve">DPO-03,SSA-05</t>
  </si>
  <si>
    <t xml:space="preserve">NB-248, NB-265</t>
  </si>
  <si>
    <t xml:space="preserve">Every breach case is tracked with owner, clock and regulator status</t>
  </si>
  <si>
    <t xml:space="preserve">NB-250</t>
  </si>
  <si>
    <t xml:space="preserve">Licence &amp; credential expiry tracker</t>
  </si>
  <si>
    <t xml:space="preserve">Manual date entry with no verification integration in this release. An expired clinician disappears from online booking until renewed.</t>
  </si>
  <si>
    <t xml:space="preserve">CMP-11,PAT-03,DOC-03</t>
  </si>
  <si>
    <t xml:space="preserve">NB-070, NB-091</t>
  </si>
  <si>
    <t xml:space="preserve">An expired licence removes the clinician from online booking and blocks the claim pack</t>
  </si>
  <si>
    <t xml:space="preserve">NB-251</t>
  </si>
  <si>
    <t xml:space="preserve">Compliance health card &amp; grievance officer setup</t>
  </si>
  <si>
    <t xml:space="preserve">One traffic-light card with no legal jargon, plus grievance officer configuration.</t>
  </si>
  <si>
    <t xml:space="preserve">CMP-12</t>
  </si>
  <si>
    <t xml:space="preserve">NB-250, NB-244</t>
  </si>
  <si>
    <t xml:space="preserve">A non-lawyer owner can read their compliance position at a glance</t>
  </si>
  <si>
    <t xml:space="preserve">NB-252</t>
  </si>
  <si>
    <t xml:space="preserve">Child-data protection controls</t>
  </si>
  <si>
    <t xml:space="preserve">Child protection flag propagated to every module, mirrored platform-side.</t>
  </si>
  <si>
    <t xml:space="preserve">The flag is enforced in every module, not only in messaging</t>
  </si>
  <si>
    <t xml:space="preserve">NB-253</t>
  </si>
  <si>
    <t xml:space="preserve">India DPDP Act 2023 compliance pack</t>
  </si>
  <si>
    <t xml:space="preserve">Consent, notice, data-principal rights, grievance officer and breach reporting.</t>
  </si>
  <si>
    <t xml:space="preserve">CMP-03,DPO-02,NFR-07</t>
  </si>
  <si>
    <t xml:space="preserve">NB-244, NB-242</t>
  </si>
  <si>
    <t xml:space="preserve">Legal review sign-off for India</t>
  </si>
  <si>
    <t xml:space="preserve">NB-254</t>
  </si>
  <si>
    <t xml:space="preserve">Saudi PDPL &amp; SDAIA compliance pack</t>
  </si>
  <si>
    <t xml:space="preserve">Residency, controller obligations, cross-border rules and retention.</t>
  </si>
  <si>
    <t xml:space="preserve">NFR-04,SYS-14</t>
  </si>
  <si>
    <t xml:space="preserve">NB-271, NB-242</t>
  </si>
  <si>
    <t xml:space="preserve">Legal review sign-off for KSA; region lock evidenced</t>
  </si>
  <si>
    <t xml:space="preserve">NB-255</t>
  </si>
  <si>
    <t xml:space="preserve">Data classification &amp; handling standard</t>
  </si>
  <si>
    <t xml:space="preserve">PHI, PII, financial and operational tiers with handling rules per tier.</t>
  </si>
  <si>
    <t xml:space="preserve">Every table and log field is classified</t>
  </si>
  <si>
    <t xml:space="preserve">NB-256</t>
  </si>
  <si>
    <t xml:space="preserve">Regulatory watch</t>
  </si>
  <si>
    <t xml:space="preserve">Tracking regulatory change across both markets and routing it into the backlog.</t>
  </si>
  <si>
    <t xml:space="preserve">SSA-11</t>
  </si>
  <si>
    <t xml:space="preserve">NB-272</t>
  </si>
  <si>
    <t xml:space="preserve">A regulatory change produces a tracked backlog item with an owner and a deadline</t>
  </si>
  <si>
    <t xml:space="preserve">NB-257</t>
  </si>
  <si>
    <t xml:space="preserve">E22 Platform Console — SaaS Operations</t>
  </si>
  <si>
    <t xml:space="preserve">Seven SaaS operator roles</t>
  </si>
  <si>
    <t xml:space="preserve">Super admin, Implementation, Support engineer, Billing, SRE, Commercial read-only and Compliance/DPO. No single super-admin does everything.</t>
  </si>
  <si>
    <t xml:space="preserve">NB-050, NB-017</t>
  </si>
  <si>
    <t xml:space="preserve">Each role sees only its own navigation; create buttons do not exist for roles without create rights</t>
  </si>
  <si>
    <t xml:space="preserve">NB-258</t>
  </si>
  <si>
    <t xml:space="preserve">Provisioning as a job queue, not a wizard</t>
  </si>
  <si>
    <t xml:space="preserve">A provisioning job is an object with six steps: create tenant, migrate schema, seed masters, provision WhatsApp, verify and invite owner, go live.</t>
  </si>
  <si>
    <t xml:space="preserve">SSA-01,SYS-21</t>
  </si>
  <si>
    <t xml:space="preserve">NB-002, NB-257</t>
  </si>
  <si>
    <t xml:space="preserve">A job is resumable and inspectable at every step; state is queued/running/done/failed/rolled back</t>
  </si>
  <si>
    <t xml:space="preserve">NB-259</t>
  </si>
  <si>
    <t xml:space="preserve">Provisioning failure &amp; automatic rollback</t>
  </si>
  <si>
    <t xml:space="preserve">A failed step rolls back cleanly with no half-created tenant, and the error is stated plainly.</t>
  </si>
  <si>
    <t xml:space="preserve">SSA-01</t>
  </si>
  <si>
    <t xml:space="preserve">A region-mismatch failure rolls back with no tenant created and a readable error</t>
  </si>
  <si>
    <t xml:space="preserve">NB-260</t>
  </si>
  <si>
    <t xml:space="preserve">Self-serve versus enterprise provisioning paths</t>
  </si>
  <si>
    <t xml:space="preserve">Both paths run through the same job engine with different approval gates.</t>
  </si>
  <si>
    <t xml:space="preserve">SSA-01,SCS-01</t>
  </si>
  <si>
    <t xml:space="preserve">Both paths produce identical tenant state; only the gates differ</t>
  </si>
  <si>
    <t xml:space="preserve">NB-261</t>
  </si>
  <si>
    <t xml:space="preserve">Tenant lifecycle — seven audited states</t>
  </si>
  <si>
    <t xml:space="preserve">Trialing through to offboarded, with every transition audited.</t>
  </si>
  <si>
    <t xml:space="preserve">DPO-04,SSA-01</t>
  </si>
  <si>
    <t xml:space="preserve">All seven states implemented; every transition writes an audit event</t>
  </si>
  <si>
    <t xml:space="preserve">NB-262</t>
  </si>
  <si>
    <t xml:space="preserve">Clinic fleet console</t>
  </si>
  <si>
    <t xml:space="preserve">Health, usage, plan, region and incident flags across every tenant.</t>
  </si>
  <si>
    <t xml:space="preserve">SSA-01,SSA-06</t>
  </si>
  <si>
    <t xml:space="preserve">NB-261, NB-257</t>
  </si>
  <si>
    <t xml:space="preserve">Fleet view loads 500 tenants in under two seconds</t>
  </si>
  <si>
    <t xml:space="preserve">NB-263</t>
  </si>
  <si>
    <t xml:space="preserve">Platform health monitoring</t>
  </si>
  <si>
    <t xml:space="preserve">Sync backlog, WhatsApp quality and error rate per clinic. A sync queue means a clinic working offline, not lost data.</t>
  </si>
  <si>
    <t xml:space="preserve">SSA-06,SYS-22,NFR-12</t>
  </si>
  <si>
    <t xml:space="preserve">NB-262, NB-304</t>
  </si>
  <si>
    <t xml:space="preserve">Quality under 60% raises a sending-at-risk alert; a sync backlog is not reported as data loss</t>
  </si>
  <si>
    <t xml:space="preserve">NB-264</t>
  </si>
  <si>
    <t xml:space="preserve">WABA fleet quality monitoring</t>
  </si>
  <si>
    <t xml:space="preserve">Per-number quality, template approval state and messaging capacity across the fleet.</t>
  </si>
  <si>
    <t xml:space="preserve">SSA-03</t>
  </si>
  <si>
    <t xml:space="preserve">NB-188, NB-262</t>
  </si>
  <si>
    <t xml:space="preserve">Failed-delivery and quality drilldown available per tenant</t>
  </si>
  <si>
    <t xml:space="preserve">NB-265</t>
  </si>
  <si>
    <t xml:space="preserve">Support tickets with SLA &amp; multi-source raising</t>
  </si>
  <si>
    <t xml:space="preserve">Raised by owners, staff and doctors, with system alerts raising their own.</t>
  </si>
  <si>
    <t xml:space="preserve">SSA-08</t>
  </si>
  <si>
    <t xml:space="preserve">NB-257, NB-262</t>
  </si>
  <si>
    <t xml:space="preserve">System alerts create tickets automatically; SLA breach is visible and escalates</t>
  </si>
  <si>
    <t xml:space="preserve">NB-266</t>
  </si>
  <si>
    <t xml:space="preserve">Support access with consent gate &amp; clinical field blindness</t>
  </si>
  <si>
    <t xml:space="preserve">A support engineer never sees clinical fields, using the same overlay the clinic sees. Access is consented, time-boxed and audited.</t>
  </si>
  <si>
    <t xml:space="preserve">SSA-04</t>
  </si>
  <si>
    <t xml:space="preserve">NB-257, NB-238</t>
  </si>
  <si>
    <t xml:space="preserve">Clinical fields are absent from the support view; no silent impersonation is possible</t>
  </si>
  <si>
    <t xml:space="preserve">NB-267</t>
  </si>
  <si>
    <t xml:space="preserve">Subscriptions, dunning &amp; involuntary churn handling</t>
  </si>
  <si>
    <t xml:space="preserve">Tier, add-ons, MRR, currency, renewal date and the active/trialing/overdue/suspended ladder.</t>
  </si>
  <si>
    <t xml:space="preserve">SSA-05,CAD-13</t>
  </si>
  <si>
    <t xml:space="preserve">NB-261, NB-269</t>
  </si>
  <si>
    <t xml:space="preserve">An overdue account follows the dunning ladder to suspension with the correct notices</t>
  </si>
  <si>
    <t xml:space="preserve">NB-268</t>
  </si>
  <si>
    <t xml:space="preserve">Discount approval queue with caps</t>
  </si>
  <si>
    <t xml:space="preserve">Within-cap discounts auto-approve; above-cap requests queue for approval and can be rejected.</t>
  </si>
  <si>
    <t xml:space="preserve">SSA-05,SYS-06</t>
  </si>
  <si>
    <t xml:space="preserve">NB-267, NB-056</t>
  </si>
  <si>
    <t xml:space="preserve">Above-cap discount cannot be applied without approval; the cap is configurable</t>
  </si>
  <si>
    <t xml:space="preserve">NB-269</t>
  </si>
  <si>
    <t xml:space="preserve">Pricing &amp; packaging console</t>
  </si>
  <si>
    <t xml:space="preserve">Plan definition, add-ons and per-tenant feature switches.</t>
  </si>
  <si>
    <t xml:space="preserve">NB-008, NB-257</t>
  </si>
  <si>
    <t xml:space="preserve">A plan change reaches the tenant within the stated propagation budget</t>
  </si>
  <si>
    <t xml:space="preserve">NB-270</t>
  </si>
  <si>
    <t xml:space="preserve">Territory &amp; commercial geography console</t>
  </si>
  <si>
    <t xml:space="preserve">State and region view with tax code, clinic and user counts, MRR, plan mix, month-on-month movement and aggregator demand.</t>
  </si>
  <si>
    <t xml:space="preserve">SSA-01,AGG-04</t>
  </si>
  <si>
    <t xml:space="preserve">NB-262, NB-267</t>
  </si>
  <si>
    <t xml:space="preserve">Territory figures reconcile with billing and the aggregator demand feed</t>
  </si>
  <si>
    <t xml:space="preserve">NB-271</t>
  </si>
  <si>
    <t xml:space="preserve">Multi-region deployment &amp; residency enforcement</t>
  </si>
  <si>
    <t xml:space="preserve">Independent India and KSA stacks with a shared control plane and no cross-region replication.</t>
  </si>
  <si>
    <t xml:space="preserve">NB-002, NB-299</t>
  </si>
  <si>
    <t xml:space="preserve">Region failover never moves data across the residency boundary; KMS keys are region-scoped</t>
  </si>
  <si>
    <t xml:space="preserve">Platform audit console</t>
  </si>
  <si>
    <t xml:space="preserve">Cross-tenant, read-only audit search for platform operators.</t>
  </si>
  <si>
    <t xml:space="preserve">SSA-11,DPO-01,SYS-13</t>
  </si>
  <si>
    <t xml:space="preserve">NB-238, NB-257</t>
  </si>
  <si>
    <t xml:space="preserve">Every platform action is queryable within five minutes of occurring</t>
  </si>
  <si>
    <t xml:space="preserve">NB-273</t>
  </si>
  <si>
    <t xml:space="preserve">Per-tenant usage metering &amp; quota enforcement</t>
  </si>
  <si>
    <t xml:space="preserve">Message volume, storage and seats, driving billing and abuse control.</t>
  </si>
  <si>
    <t xml:space="preserve">SSA-05,NFR-02</t>
  </si>
  <si>
    <t xml:space="preserve">NB-261, NB-304</t>
  </si>
  <si>
    <t xml:space="preserve">Metering reconciles with provider invoices within 1%</t>
  </si>
  <si>
    <t xml:space="preserve">NB-274</t>
  </si>
  <si>
    <t xml:space="preserve">Multi-branch &amp; multi-clinic groups</t>
  </si>
  <si>
    <t xml:space="preserve">Branch-scoped queues, staff, stock and reporting under one tenant.</t>
  </si>
  <si>
    <t xml:space="preserve">NB-261, NB-049</t>
  </si>
  <si>
    <t xml:space="preserve">Branch switch rescopes all data with no cross-branch leakage</t>
  </si>
  <si>
    <t xml:space="preserve">NB-275</t>
  </si>
  <si>
    <t xml:space="preserve">E23 Trial, Sales &amp; Growth</t>
  </si>
  <si>
    <t xml:space="preserve">Growth</t>
  </si>
  <si>
    <t xml:space="preserve">Self-serve trial creation &amp; conversion funnel</t>
  </si>
  <si>
    <t xml:space="preserve">A trial clinic created without sales involvement, tracked through to conversion.</t>
  </si>
  <si>
    <t xml:space="preserve">SCS-01,SSA-01</t>
  </si>
  <si>
    <t xml:space="preserve">NB-258, NB-276</t>
  </si>
  <si>
    <t xml:space="preserve">A trial clinic is created and reaches first value without any human involvement</t>
  </si>
  <si>
    <t xml:space="preserve">NB-276</t>
  </si>
  <si>
    <t xml:space="preserve">Digital DPA gate before any patient data</t>
  </si>
  <si>
    <t xml:space="preserve">A plan and a signed digital DPA are required before the tenant can hold patient data.</t>
  </si>
  <si>
    <t xml:space="preserve">CEO-17,DPO-01</t>
  </si>
  <si>
    <t xml:space="preserve">NB-242, NB-261</t>
  </si>
  <si>
    <t xml:space="preserve">Patient data entry is blocked until a plan is selected and the DPA is signed and versioned</t>
  </si>
  <si>
    <t xml:space="preserve">NB-277</t>
  </si>
  <si>
    <t xml:space="preserve">Low-touch inside sales &amp; lead pipeline</t>
  </si>
  <si>
    <t xml:space="preserve">Lead capture and pipeline for a low-touch sales motion.</t>
  </si>
  <si>
    <t xml:space="preserve">SCS-02</t>
  </si>
  <si>
    <t xml:space="preserve">Leads flow to a pipeline with stage and owner; no manual spreadsheet is required</t>
  </si>
  <si>
    <t xml:space="preserve">NB-278</t>
  </si>
  <si>
    <t xml:space="preserve">Onboarding success &amp; activation tracking</t>
  </si>
  <si>
    <t xml:space="preserve">Cohort activation tracking that identifies stuck tenants.</t>
  </si>
  <si>
    <t xml:space="preserve">SCS-03</t>
  </si>
  <si>
    <t xml:space="preserve">NB-275, NB-069</t>
  </si>
  <si>
    <t xml:space="preserve">A stuck tenant is identified automatically with the blocking step named</t>
  </si>
  <si>
    <t xml:space="preserve">NB-279</t>
  </si>
  <si>
    <t xml:space="preserve">Paid white-glove setup delivery</t>
  </si>
  <si>
    <t xml:space="preserve">A chargeable managed-setup workflow tracked to completion.</t>
  </si>
  <si>
    <t xml:space="preserve">SCS-04</t>
  </si>
  <si>
    <t xml:space="preserve">White-glove engagements are tracked with deliverables and a completion gate</t>
  </si>
  <si>
    <t xml:space="preserve">NB-280</t>
  </si>
  <si>
    <t xml:space="preserve">Trial expiry, conversion &amp; downgrade handling</t>
  </si>
  <si>
    <t xml:space="preserve">Trial countdown, conversion and graceful downgrade with historical data preserved.</t>
  </si>
  <si>
    <t xml:space="preserve">SCS-01,SYS-20,CAD-13</t>
  </si>
  <si>
    <t xml:space="preserve">NB-275, NB-267</t>
  </si>
  <si>
    <t xml:space="preserve">Trial expiry never destroys data; downgrade leaves history readable</t>
  </si>
  <si>
    <t xml:space="preserve">NB-281</t>
  </si>
  <si>
    <t xml:space="preserve">Plan win/loss &amp; pricing signal reporting</t>
  </si>
  <si>
    <t xml:space="preserve">Which plans win and lose, feeding pricing decisions.</t>
  </si>
  <si>
    <t xml:space="preserve">SCS-04,SCS-02</t>
  </si>
  <si>
    <t xml:space="preserve">Win/loss reasons are captured as structured data, not free text alone</t>
  </si>
  <si>
    <t xml:space="preserve">NB-282</t>
  </si>
  <si>
    <t xml:space="preserve">E24 Cybersecurity</t>
  </si>
  <si>
    <t xml:space="preserve">Threat model &amp; security architecture review</t>
  </si>
  <si>
    <t xml:space="preserve">STRIDE across auth, tenancy, messaging, billing, aggregator and clinical data flows.</t>
  </si>
  <si>
    <t xml:space="preserve">Threat model reviewed; mitigations tracked as backlog items</t>
  </si>
  <si>
    <t xml:space="preserve">NB-283</t>
  </si>
  <si>
    <t xml:space="preserve">Region-scoped encryption at rest &amp; KMS key management</t>
  </si>
  <si>
    <t xml:space="preserve">Per-tenant keys held in a region-scoped KMS with no cross-region replication of keys or data.</t>
  </si>
  <si>
    <t xml:space="preserve">NFR-04</t>
  </si>
  <si>
    <t xml:space="preserve">NB-009, NB-299</t>
  </si>
  <si>
    <t xml:space="preserve">Key rotation exercised in staging without downtime; keys never leave their region</t>
  </si>
  <si>
    <t xml:space="preserve">NB-284</t>
  </si>
  <si>
    <t xml:space="preserve">Encryption in transit &amp; TLS hardening</t>
  </si>
  <si>
    <t xml:space="preserve">TLS 1.3, HSTS preload, no weak ciphers, automated certificates.</t>
  </si>
  <si>
    <t xml:space="preserve">SSL Labs A+ on all public endpoints</t>
  </si>
  <si>
    <t xml:space="preserve">NB-285</t>
  </si>
  <si>
    <t xml:space="preserve">PHI field-level encryption &amp; tokenisation</t>
  </si>
  <si>
    <t xml:space="preserve">National identifiers and sensitive fields encrypted at column level.</t>
  </si>
  <si>
    <t xml:space="preserve">NB-283, NB-255</t>
  </si>
  <si>
    <t xml:space="preserve">A database dump exposes no plaintext national identifier</t>
  </si>
  <si>
    <t xml:space="preserve">NB-286</t>
  </si>
  <si>
    <t xml:space="preserve">Input validation &amp; injection defence</t>
  </si>
  <si>
    <t xml:space="preserve">Parameterised queries, schema validation on every endpoint, output encoding.</t>
  </si>
  <si>
    <t xml:space="preserve">SAST and DAST report zero high-severity injection findings</t>
  </si>
  <si>
    <t xml:space="preserve">NB-287</t>
  </si>
  <si>
    <t xml:space="preserve">OWASP Top 10 &amp; API Top 10 remediation pass</t>
  </si>
  <si>
    <t xml:space="preserve">Systematic review including IDOR/BOLA on every patient-scoped and family-scoped route.</t>
  </si>
  <si>
    <t xml:space="preserve">NB-050, NB-286</t>
  </si>
  <si>
    <t xml:space="preserve">No high or critical findings open at release</t>
  </si>
  <si>
    <t xml:space="preserve">NB-288</t>
  </si>
  <si>
    <t xml:space="preserve">Rate limiting, bot &amp; abuse protection</t>
  </si>
  <si>
    <t xml:space="preserve">Per IP, tenant, user and phone number. The unified aggregator number is a public entry point and needs its own limits.</t>
  </si>
  <si>
    <t xml:space="preserve">AGG-01,NFR-02</t>
  </si>
  <si>
    <t xml:space="preserve">Load test confirms limits; the shared aggregator number resists enumeration and flooding</t>
  </si>
  <si>
    <t xml:space="preserve">NB-289</t>
  </si>
  <si>
    <t xml:space="preserve">Messaging channel abuse &amp; impersonation controls</t>
  </si>
  <si>
    <t xml:space="preserve">Preventing a hijacked or spoofed number from reaching patient data through the chat surface.</t>
  </si>
  <si>
    <t xml:space="preserve">PAT-01,CGV-06</t>
  </si>
  <si>
    <t xml:space="preserve">NB-201, NB-288</t>
  </si>
  <si>
    <t xml:space="preserve">A number change requires re-verification before any patient data is released</t>
  </si>
  <si>
    <t xml:space="preserve">NB-290</t>
  </si>
  <si>
    <t xml:space="preserve">Secrets scanning &amp; dependency vulnerability management</t>
  </si>
  <si>
    <t xml:space="preserve">SCA in CI, SBOM per release, patch SLA by severity.</t>
  </si>
  <si>
    <t xml:space="preserve">NB-298</t>
  </si>
  <si>
    <t xml:space="preserve">Build fails on a critical CVE; SBOM published per release</t>
  </si>
  <si>
    <t xml:space="preserve">NB-291</t>
  </si>
  <si>
    <t xml:space="preserve">Security headers &amp; frontend hardening</t>
  </si>
  <si>
    <t xml:space="preserve">CSP in enforce mode, framing protections, no inline script, subresource integrity.</t>
  </si>
  <si>
    <t xml:space="preserve">CSP enforced with zero violations in production</t>
  </si>
  <si>
    <t xml:space="preserve">File upload security pipeline</t>
  </si>
  <si>
    <t xml:space="preserve">Type verification, size limits, AV scan, sandboxed rendering and no direct object URLs.</t>
  </si>
  <si>
    <t xml:space="preserve">EICAR test file rejected; only signed short-lived URLs are issued</t>
  </si>
  <si>
    <t xml:space="preserve">Security logging, SIEM &amp; alerting</t>
  </si>
  <si>
    <t xml:space="preserve">Auth failures, privilege changes, break-glass, support access and mass export all alerted.</t>
  </si>
  <si>
    <t xml:space="preserve">SSA-05,SYS-13</t>
  </si>
  <si>
    <t xml:space="preserve">NB-238, NB-304</t>
  </si>
  <si>
    <t xml:space="preserve">Detection rules fire in a simulated attack drill</t>
  </si>
  <si>
    <t xml:space="preserve">NB-294</t>
  </si>
  <si>
    <t xml:space="preserve">Annual CERT-In-empanelled VAPT — India</t>
  </si>
  <si>
    <t xml:space="preserve">India requires an annual VAPT by a CERT-In empanelled assessor, plus an annual drill with tenants.</t>
  </si>
  <si>
    <t xml:space="preserve">NFR-09</t>
  </si>
  <si>
    <t xml:space="preserve">NB-287, NB-050</t>
  </si>
  <si>
    <t xml:space="preserve">CERT-In empanelled assessor engaged; all critical and high findings closed and retested</t>
  </si>
  <si>
    <t xml:space="preserve">NB-295</t>
  </si>
  <si>
    <t xml:space="preserve">KSA penetration test &amp; remediation</t>
  </si>
  <si>
    <t xml:space="preserve">Independent external test covering the KSA stack before go-live in that region.</t>
  </si>
  <si>
    <t xml:space="preserve">NB-287, NB-271</t>
  </si>
  <si>
    <t xml:space="preserve">All critical and high findings closed and retested; report archived</t>
  </si>
  <si>
    <t xml:space="preserve">NB-296</t>
  </si>
  <si>
    <t xml:space="preserve">Business continuity &amp; ransomware resilience</t>
  </si>
  <si>
    <t xml:space="preserve">Immutable backups, isolated recovery environment and a restore drill.</t>
  </si>
  <si>
    <t xml:space="preserve">NB-306</t>
  </si>
  <si>
    <t xml:space="preserve">Full restore to a clean environment demonstrated within RTO</t>
  </si>
  <si>
    <t xml:space="preserve">NB-297</t>
  </si>
  <si>
    <t xml:space="preserve">E25 DevOps &amp; Infrastructure</t>
  </si>
  <si>
    <t xml:space="preserve">Repository, branching &amp; code-review policy</t>
  </si>
  <si>
    <t xml:space="preserve">Trunk-based with short-lived branches, mandatory review and signed commits.</t>
  </si>
  <si>
    <t xml:space="preserve">Branch protection enforced; no direct pushes to main</t>
  </si>
  <si>
    <t xml:space="preserve">CI pipeline — build, lint, unit test, SAST</t>
  </si>
  <si>
    <t xml:space="preserve">Every pull request gated with feedback in under ten minutes.</t>
  </si>
  <si>
    <t xml:space="preserve">Pipeline green required to merge; median runtime under ten minutes</t>
  </si>
  <si>
    <t xml:space="preserve">Infrastructure as code</t>
  </si>
  <si>
    <t xml:space="preserve">Every environment and both regions defined in code with no console changes.</t>
  </si>
  <si>
    <t xml:space="preserve">Environment reproducible from scratch in a clean account</t>
  </si>
  <si>
    <t xml:space="preserve">NB-300</t>
  </si>
  <si>
    <t xml:space="preserve">Containerisation &amp; orchestration</t>
  </si>
  <si>
    <t xml:space="preserve">Container images with resource limits on a managed orchestration platform.</t>
  </si>
  <si>
    <t xml:space="preserve">Rolling deploy with zero dropped requests</t>
  </si>
  <si>
    <t xml:space="preserve">NB-301</t>
  </si>
  <si>
    <t xml:space="preserve">Environment strategy — dev, test, staging, production</t>
  </si>
  <si>
    <t xml:space="preserve">Isolated data; staging mirrors production topology; no PHI outside production.</t>
  </si>
  <si>
    <t xml:space="preserve">Staging seeded with synthetic data only, verified by scan</t>
  </si>
  <si>
    <t xml:space="preserve">NB-302</t>
  </si>
  <si>
    <t xml:space="preserve">CD pipeline with progressive delivery</t>
  </si>
  <si>
    <t xml:space="preserve">Automated deploy, canary or blue-green, one-click rollback.</t>
  </si>
  <si>
    <t xml:space="preserve">NB-300, NB-298</t>
  </si>
  <si>
    <t xml:space="preserve">Rollback completes in under five minutes in a drill</t>
  </si>
  <si>
    <t xml:space="preserve">NB-303</t>
  </si>
  <si>
    <t xml:space="preserve">Zero-downtime database migration automation</t>
  </si>
  <si>
    <t xml:space="preserve">Expand-contract migrations through the pipeline with a rollback plan.</t>
  </si>
  <si>
    <t xml:space="preserve">NB-004, NB-302</t>
  </si>
  <si>
    <t xml:space="preserve">Migration applied to a production-sized dataset with no downtime</t>
  </si>
  <si>
    <t xml:space="preserve">NB-304</t>
  </si>
  <si>
    <t xml:space="preserve">Observability — metrics, logs, traces with PHI redaction</t>
  </si>
  <si>
    <t xml:space="preserve">Structured logs with PHI redaction, distributed tracing and RED/USE dashboards.</t>
  </si>
  <si>
    <t xml:space="preserve">Automated scanner confirms no PHI in logs; traces span the full request</t>
  </si>
  <si>
    <t xml:space="preserve">NB-305</t>
  </si>
  <si>
    <t xml:space="preserve">Alerting, on-call &amp; runbooks</t>
  </si>
  <si>
    <t xml:space="preserve">SLO-based alerts with an escalation policy and a runbook per alert.</t>
  </si>
  <si>
    <t xml:space="preserve">Every alert links to a runbook; no unactionable alerts</t>
  </si>
  <si>
    <t xml:space="preserve">Backup, retention &amp; restore automation</t>
  </si>
  <si>
    <t xml:space="preserve">Point-in-time recovery with encrypted copies held inside the residency boundary.</t>
  </si>
  <si>
    <t xml:space="preserve">NB-299, NB-283</t>
  </si>
  <si>
    <t xml:space="preserve">Automated monthly restore test passes; no backup crosses a region boundary</t>
  </si>
  <si>
    <t xml:space="preserve">NB-307</t>
  </si>
  <si>
    <t xml:space="preserve">Disaster recovery — RTO/RPO definition &amp; drill</t>
  </si>
  <si>
    <t xml:space="preserve">Target RTO four hours, RPO fifteen minutes, documented and exercised per region.</t>
  </si>
  <si>
    <t xml:space="preserve">NB-306, NB-271</t>
  </si>
  <si>
    <t xml:space="preserve">DR drill meets the stated RTO and RPO with evidence, in both regions</t>
  </si>
  <si>
    <t xml:space="preserve">NB-308</t>
  </si>
  <si>
    <t xml:space="preserve">Background job platform &amp; scheduled workers</t>
  </si>
  <si>
    <t xml:space="preserve">Recall, expiry, retention, dunning, reminder and aggregation jobs — idempotent and observable.</t>
  </si>
  <si>
    <t xml:space="preserve">PAT-20,PKG-13,CMP-05</t>
  </si>
  <si>
    <t xml:space="preserve">NB-300, NB-007</t>
  </si>
  <si>
    <t xml:space="preserve">Every scheduled job is idempotent and re-runnable without side effects</t>
  </si>
  <si>
    <t xml:space="preserve">NB-309</t>
  </si>
  <si>
    <t xml:space="preserve">Cost monitoring &amp; capacity planning</t>
  </si>
  <si>
    <t xml:space="preserve">Per-tenant cost attribution, budget alerts and autoscaling policy.</t>
  </si>
  <si>
    <t xml:space="preserve">Cost per tenant reported monthly with alerts at 80% of budget</t>
  </si>
  <si>
    <t xml:space="preserve">NB-310</t>
  </si>
  <si>
    <t xml:space="preserve">Release management &amp; change control</t>
  </si>
  <si>
    <t xml:space="preserve">Change advisory for clinically-affecting releases, release notes and freeze windows.</t>
  </si>
  <si>
    <t xml:space="preserve">Every production change traceable to an approved ticket</t>
  </si>
  <si>
    <t xml:space="preserve">NB-311</t>
  </si>
  <si>
    <t xml:space="preserve">Provisioning automation hooks</t>
  </si>
  <si>
    <t xml:space="preserve">The infrastructure side of the provisioning job engine — schema migration, seeding and WhatsApp provisioning.</t>
  </si>
  <si>
    <t xml:space="preserve">NB-299, NB-308</t>
  </si>
  <si>
    <t xml:space="preserve">Each provisioning step is independently retryable and idempotent</t>
  </si>
  <si>
    <t xml:space="preserve">NB-312</t>
  </si>
  <si>
    <t xml:space="preserve">E26 Quality Assurance</t>
  </si>
  <si>
    <t xml:space="preserve">Test strategy &amp; quality gates</t>
  </si>
  <si>
    <t xml:space="preserve">Pyramid targets, coverage thresholds, definition of done and risk-based clinical focus.</t>
  </si>
  <si>
    <t xml:space="preserve">Strategy signed off; gates enforced in CI</t>
  </si>
  <si>
    <t xml:space="preserve">NB-313</t>
  </si>
  <si>
    <t xml:space="preserve">Unit &amp; integration test framework</t>
  </si>
  <si>
    <t xml:space="preserve">Shared fixtures, tenant-aware factories and per-test database isolation.</t>
  </si>
  <si>
    <t xml:space="preserve">NB-312, NB-298</t>
  </si>
  <si>
    <t xml:space="preserve">70% line coverage on domain logic; suite under eight minutes</t>
  </si>
  <si>
    <t xml:space="preserve">NB-314</t>
  </si>
  <si>
    <t xml:space="preserve">API contract testing</t>
  </si>
  <si>
    <t xml:space="preserve">Consumer-driven contracts between the BFF, services and clients.</t>
  </si>
  <si>
    <t xml:space="preserve">NB-005, NB-313</t>
  </si>
  <si>
    <t xml:space="preserve">A breaking API change fails CI before staging</t>
  </si>
  <si>
    <t xml:space="preserve">NB-315</t>
  </si>
  <si>
    <t xml:space="preserve">End-to-end automation — clinical &amp; billing journeys</t>
  </si>
  <si>
    <t xml:space="preserve">Register, queue, vitals, consult, prescribe, checkout, invoice — per role.</t>
  </si>
  <si>
    <t xml:space="preserve">NB-301, NB-162, NB-102</t>
  </si>
  <si>
    <t xml:space="preserve">E2E suite green nightly on staging in all three interface languages</t>
  </si>
  <si>
    <t xml:space="preserve">NB-316</t>
  </si>
  <si>
    <t xml:space="preserve">Patient WhatsApp conversation test harness</t>
  </si>
  <si>
    <t xml:space="preserve">Automated conversation-flow testing against a provider sandbox, covering tap budgets and session-window expiry.</t>
  </si>
  <si>
    <t xml:space="preserve">PAT-03,NFR-02</t>
  </si>
  <si>
    <t xml:space="preserve">NB-202, NB-301</t>
  </si>
  <si>
    <t xml:space="preserve">Tap budgets asserted automatically; session-window expiry behaviour verified without a live provider</t>
  </si>
  <si>
    <t xml:space="preserve">NB-317</t>
  </si>
  <si>
    <t xml:space="preserve">RBAC negative-test suite</t>
  </si>
  <si>
    <t xml:space="preserve">Automated assertion that every role is denied every permission it does not hold, for both clinic and SaaS operator roles.</t>
  </si>
  <si>
    <t xml:space="preserve">NB-050, NB-257, NB-313</t>
  </si>
  <si>
    <t xml:space="preserve">Full role x endpoint matrix executed each build for all twelve roles</t>
  </si>
  <si>
    <t xml:space="preserve">NB-318</t>
  </si>
  <si>
    <t xml:space="preserve">Cross-browser &amp; device matrix testing</t>
  </si>
  <si>
    <t xml:space="preserve">Chrome, Safari and Edge; Android tablets and low-end phones common in clinics.</t>
  </si>
  <si>
    <t xml:space="preserve">Matrix documented; no P1 defect on supported devices</t>
  </si>
  <si>
    <t xml:space="preserve">NB-319</t>
  </si>
  <si>
    <t xml:space="preserve">RTL &amp; localisation test suite</t>
  </si>
  <si>
    <t xml:space="preserve">Visual regression in Arabic and Hindi including Hijri dates, currency, anatomy non-mirroring and chart time axes.</t>
  </si>
  <si>
    <t xml:space="preserve">NB-031, NB-315</t>
  </si>
  <si>
    <t xml:space="preserve">Screenshot diffs reviewed per release; anatomy and time axes verified unmirrored</t>
  </si>
  <si>
    <t xml:space="preserve">NB-320</t>
  </si>
  <si>
    <t xml:space="preserve">Accessibility audit — WCAG 2.2 AA</t>
  </si>
  <si>
    <t xml:space="preserve">Automated scans plus manual keyboard and screen-reader passes, including chart table views.</t>
  </si>
  <si>
    <t xml:space="preserve">NB-013, NB-027, NB-315</t>
  </si>
  <si>
    <t xml:space="preserve">Zero critical violations; keyboard-only journey completes; charts readable via table view</t>
  </si>
  <si>
    <t xml:space="preserve">NB-321</t>
  </si>
  <si>
    <t xml:space="preserve">Clinical safety test cases &amp; hazard log</t>
  </si>
  <si>
    <t xml:space="preserve">Allergy, dose, wrong-patient, wrong-family-member and lost-note hazards with evidenced mitigations.</t>
  </si>
  <si>
    <t xml:space="preserve">DERM-05,PED-05,GYN-03,CGV-04</t>
  </si>
  <si>
    <t xml:space="preserve">NB-108, NB-112, NB-145</t>
  </si>
  <si>
    <t xml:space="preserve">Hazard log reviewed and signed by the clinical safety officer</t>
  </si>
  <si>
    <t xml:space="preserve">NB-322</t>
  </si>
  <si>
    <t xml:space="preserve">Tax &amp; invoice correctness test pack</t>
  </si>
  <si>
    <t xml:space="preserve">Independent verification of GST and ZATCA output against worked examples in both regions.</t>
  </si>
  <si>
    <t xml:space="preserve">NB-163, NB-164</t>
  </si>
  <si>
    <t xml:space="preserve">Every worked example reproduces to the paisa/halala; reviewed by a tax specialist</t>
  </si>
  <si>
    <t xml:space="preserve">NB-323</t>
  </si>
  <si>
    <t xml:space="preserve">UAT with pilot clinics in India &amp; KSA</t>
  </si>
  <si>
    <t xml:space="preserve">Structured scripts per role, defect triage and sign-off.</t>
  </si>
  <si>
    <t xml:space="preserve">NB-315, NB-346</t>
  </si>
  <si>
    <t xml:space="preserve">Both pilot clinics sign off with no open P1 or P2</t>
  </si>
  <si>
    <t xml:space="preserve">NB-324</t>
  </si>
  <si>
    <t xml:space="preserve">E27 Performance, Reliability &amp; Offline</t>
  </si>
  <si>
    <t xml:space="preserve">Performance</t>
  </si>
  <si>
    <t xml:space="preserve">Performance budgets &amp; frontend optimisation</t>
  </si>
  <si>
    <t xml:space="preserve">The owner dashboard opens in under two seconds on mobile; the queue screen is interactive in under two seconds on a mid-range Android over 4G.</t>
  </si>
  <si>
    <t xml:space="preserve">OWN-01,NFR-02</t>
  </si>
  <si>
    <t xml:space="preserve">NB-017, NB-304</t>
  </si>
  <si>
    <t xml:space="preserve">Lighthouse and real-user monitoring meet budget on the pilot device</t>
  </si>
  <si>
    <t xml:space="preserve">NB-325</t>
  </si>
  <si>
    <t xml:space="preserve">Database indexing &amp; query optimisation</t>
  </si>
  <si>
    <t xml:space="preserve">Tenant-scoped indexes, N+1 elimination and slow-query alerting.</t>
  </si>
  <si>
    <t xml:space="preserve">NB-003, NB-304</t>
  </si>
  <si>
    <t xml:space="preserve">No query over 200ms at p95 under load</t>
  </si>
  <si>
    <t xml:space="preserve">NB-326</t>
  </si>
  <si>
    <t xml:space="preserve">Caching strategy</t>
  </si>
  <si>
    <t xml:space="preserve">Reference data, entitlements and catalogue cached with correct invalidation.</t>
  </si>
  <si>
    <t xml:space="preserve">SYS-20</t>
  </si>
  <si>
    <t xml:space="preserve">NB-010, NB-008</t>
  </si>
  <si>
    <t xml:space="preserve">Stale-entitlement window under 60s; cache hit rate above 80%</t>
  </si>
  <si>
    <t xml:space="preserve">NB-327</t>
  </si>
  <si>
    <t xml:space="preserve">Load &amp; stress testing</t>
  </si>
  <si>
    <t xml:space="preserve">Peak morning-rush profile across clinics plus unbounded patient-side messaging concurrency.</t>
  </si>
  <si>
    <t xml:space="preserve">NFR-02,NFR-12</t>
  </si>
  <si>
    <t xml:space="preserve">NB-301, NB-304</t>
  </si>
  <si>
    <t xml:space="preserve">System meets SLOs at twice expected peak on both the clinic and patient sides</t>
  </si>
  <si>
    <t xml:space="preserve">NB-328</t>
  </si>
  <si>
    <t xml:space="preserve">Offline queue, replay &amp; sync banner</t>
  </si>
  <si>
    <t xml:space="preserve">Queued writes replay in order; no destructive action is offered while queued. A sync queue is a clinic working offline, not lost data.</t>
  </si>
  <si>
    <t xml:space="preserve">NFR-12,SYS-22</t>
  </si>
  <si>
    <t xml:space="preserve">NB-020, NB-007</t>
  </si>
  <si>
    <t xml:space="preserve">Queued writes replay in order after reconnect with no duplicates and no lost writes</t>
  </si>
  <si>
    <t xml:space="preserve">NB-329</t>
  </si>
  <si>
    <t xml:space="preserve">SLO definition &amp; error budget policy</t>
  </si>
  <si>
    <t xml:space="preserve">Availability and latency SLOs per critical journey.</t>
  </si>
  <si>
    <t xml:space="preserve">SLOs published; error budget policy agreed</t>
  </si>
  <si>
    <t xml:space="preserve">NB-330</t>
  </si>
  <si>
    <t xml:space="preserve">Graceful degradation for third-party outages</t>
  </si>
  <si>
    <t xml:space="preserve">A WhatsApp, gateway, ZATCA or lab outage must never block clinical or billing work.</t>
  </si>
  <si>
    <t xml:space="preserve">NB-193, NB-168</t>
  </si>
  <si>
    <t xml:space="preserve">Chaos test: each provider down in turn, core journeys still complete</t>
  </si>
  <si>
    <t xml:space="preserve">NB-331</t>
  </si>
  <si>
    <t xml:space="preserve">Messaging backpressure &amp; provider rate-limit handling</t>
  </si>
  <si>
    <t xml:space="preserve">Respecting provider capacity with backpressure rather than dropping messages.</t>
  </si>
  <si>
    <t xml:space="preserve">Provider rate limit reached: messages queue and drain, none are lost</t>
  </si>
  <si>
    <t xml:space="preserve">NB-332</t>
  </si>
  <si>
    <t xml:space="preserve">Read-model lag monitoring</t>
  </si>
  <si>
    <t xml:space="preserve">Reporting lag is visible and bounded so the owner never acts on stale money figures unknowingly.</t>
  </si>
  <si>
    <t xml:space="preserve">NB-228, NB-304</t>
  </si>
  <si>
    <t xml:space="preserve">Read-model staleness is displayed as an as-of time on every money surface</t>
  </si>
  <si>
    <t xml:space="preserve">NB-333</t>
  </si>
  <si>
    <t xml:space="preserve">E28 Mobile, Tablet &amp; Display Surfaces</t>
  </si>
  <si>
    <t xml:space="preserve">Mobile</t>
  </si>
  <si>
    <t xml:space="preserve">Mobile shell — bottom nav, FAB, safe areas</t>
  </si>
  <si>
    <t xml:space="preserve">Maximum five destinations plus More; 64px nav plus safe area.</t>
  </si>
  <si>
    <t xml:space="preserve">Matches the wireframe at 360-430px widths</t>
  </si>
  <si>
    <t xml:space="preserve">NB-334</t>
  </si>
  <si>
    <t xml:space="preserve">Tablet rail &amp; split-panel layouts</t>
  </si>
  <si>
    <t xml:space="preserve">88px rail and split panel at 1024x1366 — the clinic's primary device.</t>
  </si>
  <si>
    <t xml:space="preserve">Verified in both orientations</t>
  </si>
  <si>
    <t xml:space="preserve">NB-335</t>
  </si>
  <si>
    <t xml:space="preserve">Table-to-card transformation below 768px</t>
  </si>
  <si>
    <t xml:space="preserve">Grouped mobile list rows with progressive detail in a bottom sheet.</t>
  </si>
  <si>
    <t xml:space="preserve">No table renders under 768px anywhere in the product</t>
  </si>
  <si>
    <t xml:space="preserve">NB-336</t>
  </si>
  <si>
    <t xml:space="preserve">Bottom sheets replacing dropdowns and popovers on mobile</t>
  </si>
  <si>
    <t xml:space="preserve">Every dropdown, select and popover under 768px becomes a sheet.</t>
  </si>
  <si>
    <t xml:space="preserve">Automated check: no popover positioned off-screen on mobile</t>
  </si>
  <si>
    <t xml:space="preserve">NB-337</t>
  </si>
  <si>
    <t xml:space="preserve">Waiting-room token display surface</t>
  </si>
  <si>
    <t xml:space="preserve">A full-screen browser display that is its own scale, not a breakpoint — now-serving at 56/62px and next-three raised to 32px for three-metre legibility.</t>
  </si>
  <si>
    <t xml:space="preserve">RCP-14</t>
  </si>
  <si>
    <t xml:space="preserve">NB-094, NB-096</t>
  </si>
  <si>
    <t xml:space="preserve">Legible at three metres; shows no patient name by default</t>
  </si>
  <si>
    <t xml:space="preserve">NB-338</t>
  </si>
  <si>
    <t xml:space="preserve">Display liveness — paired, stale &amp; connection lost</t>
  </si>
  <si>
    <t xml:space="preserve">Re-checked every three seconds. The display must never show a silently frozen token.</t>
  </si>
  <si>
    <t xml:space="preserve">No update within three seconds turns the pill stale; a dropped connection says so explicitly</t>
  </si>
  <si>
    <t xml:space="preserve">NB-339</t>
  </si>
  <si>
    <t xml:space="preserve">Display pairing &amp; device management</t>
  </si>
  <si>
    <t xml:space="preserve">Pairing a screen to a clinic and managing paired devices.</t>
  </si>
  <si>
    <t xml:space="preserve">RCP-14,CAD-01</t>
  </si>
  <si>
    <t xml:space="preserve">An unpaired screen is reported in the setup checklist; pairing is revocable</t>
  </si>
  <si>
    <t xml:space="preserve">NB-340</t>
  </si>
  <si>
    <t xml:space="preserve">Touch target &amp; ergonomics audit</t>
  </si>
  <si>
    <t xml:space="preserve">44x44 minimum everywhere on touch, including icon-only controls.</t>
  </si>
  <si>
    <t xml:space="preserve">NB-333, NB-334</t>
  </si>
  <si>
    <t xml:space="preserve">Automated measurement across every screen passes</t>
  </si>
  <si>
    <t xml:space="preserve">NB-341</t>
  </si>
  <si>
    <t xml:space="preserve">PWA — installability, offline shell &amp; push</t>
  </si>
  <si>
    <t xml:space="preserve">Installable on clinic tablets with an offline shell and push notifications.</t>
  </si>
  <si>
    <t xml:space="preserve">NB-333, NB-328</t>
  </si>
  <si>
    <t xml:space="preserve">Installs on Android and iOS; the offline shell loads without network</t>
  </si>
  <si>
    <t xml:space="preserve">NB-342</t>
  </si>
  <si>
    <t xml:space="preserve">E29 Launch, Migration &amp; Handover</t>
  </si>
  <si>
    <t xml:space="preserve">Launch</t>
  </si>
  <si>
    <t xml:space="preserve">Data migration toolkit from legacy systems</t>
  </si>
  <si>
    <t xml:space="preserve">Patient, appointment and invoice import with validation and dry-run.</t>
  </si>
  <si>
    <t xml:space="preserve">NB-071, NB-162, NB-068</t>
  </si>
  <si>
    <t xml:space="preserve">A dry-run report precedes every write; rollback available</t>
  </si>
  <si>
    <t xml:space="preserve">NB-343</t>
  </si>
  <si>
    <t xml:space="preserve">Requirement traceability &amp; coverage sign-off</t>
  </si>
  <si>
    <t xml:space="preserve">Every requirement ID in the wireframe register is mapped to a delivered, tested task before go-live.</t>
  </si>
  <si>
    <t xml:space="preserve">Delivery</t>
  </si>
  <si>
    <t xml:space="preserve">Coverage report shows zero uncovered MVP requirement IDs</t>
  </si>
  <si>
    <t xml:space="preserve">NB-344</t>
  </si>
  <si>
    <t xml:space="preserve">Pilot rollout plan &amp; rollback criteria</t>
  </si>
  <si>
    <t xml:space="preserve">Two pilot clinics per region with defined success metrics and abort triggers.</t>
  </si>
  <si>
    <t xml:space="preserve">Plan approved; rollback rehearsed</t>
  </si>
  <si>
    <t xml:space="preserve">NB-345</t>
  </si>
  <si>
    <t xml:space="preserve">User documentation &amp; in-app guidance per role</t>
  </si>
  <si>
    <t xml:space="preserve">Role-specific help and first-run tours in all three interface languages.</t>
  </si>
  <si>
    <t xml:space="preserve">NFR-18</t>
  </si>
  <si>
    <t xml:space="preserve">NB-030, NB-315</t>
  </si>
  <si>
    <t xml:space="preserve">Docs published in EN/AR/HI; tour completion tracked</t>
  </si>
  <si>
    <t xml:space="preserve">NB-346</t>
  </si>
  <si>
    <t xml:space="preserve">Staff training &amp; train-the-trainer</t>
  </si>
  <si>
    <t xml:space="preserve">Reception, nurse, doctor, owner and platform-operator tracks with a competency check.</t>
  </si>
  <si>
    <t xml:space="preserve">All pilot staff certified before go-live</t>
  </si>
  <si>
    <t xml:space="preserve">NB-347</t>
  </si>
  <si>
    <t xml:space="preserve">Support model, SLA &amp; escalation</t>
  </si>
  <si>
    <t xml:space="preserve">Tiered support, ticketing and a clinical-impact escalation path, wired to the platform ticket console.</t>
  </si>
  <si>
    <t xml:space="preserve">NB-305, NB-265</t>
  </si>
  <si>
    <t xml:space="preserve">SLA published; escalation tested end to end</t>
  </si>
  <si>
    <t xml:space="preserve">NB-348</t>
  </si>
  <si>
    <t xml:space="preserve">Staff security awareness &amp; data handling training</t>
  </si>
  <si>
    <t xml:space="preserve">Onboarding and annual refresher with tracked completion, plus the annual tenant drill.</t>
  </si>
  <si>
    <t xml:space="preserve">100% completion before go-live; annual drill scheduled</t>
  </si>
  <si>
    <t xml:space="preserve">NB-349</t>
  </si>
  <si>
    <t xml:space="preserve">Go-live readiness review &amp; sign-off</t>
  </si>
  <si>
    <t xml:space="preserve">Security, compliance, clinical safety, tax, performance and support gates all green.</t>
  </si>
  <si>
    <t xml:space="preserve">NB-294, NB-295, NB-323, NB-307, NB-327, NB-322, NB-343</t>
  </si>
  <si>
    <t xml:space="preserve">Signed readiness checklist from every gate owner, per region</t>
  </si>
  <si>
    <t xml:space="preserve">TOTAL</t>
  </si>
  <si>
    <t xml:space="preserve">Requirement coverage — every identifier found in the wireframe, and the tasks that deliver it</t>
  </si>
  <si>
    <t xml:space="preserve">Extracted programmatically from the wireframe source, not transcribed by hand. Uncovered rows turn red — there must be none.</t>
  </si>
  <si>
    <t xml:space="preserve">Requirement ID</t>
  </si>
  <si>
    <t xml:space="preserve">Area</t>
  </si>
  <si>
    <t xml:space="preserve">Description (from the wireframe)</t>
  </si>
  <si>
    <t xml:space="preserve">Work Starts In</t>
  </si>
  <si>
    <t xml:space="preserve">Tasks Delivering It</t>
  </si>
  <si>
    <t xml:space="preserve">Task Count</t>
  </si>
  <si>
    <t xml:space="preserve">Covered?</t>
  </si>
  <si>
    <t xml:space="preserve">Nabd's shared number, invisible routing, verified-visit ratings</t>
  </si>
  <si>
    <t xml:space="preserve">NB-221, NB-224, NB-288</t>
  </si>
  <si>
    <t xml:space="preserve">AGG-02</t>
  </si>
  <si>
    <t xml:space="preserve">This may be an emergency. Call </t>
  </si>
  <si>
    <t xml:space="preserve">patient demand on the unified number vs actual coverage — the sales signal</t>
  </si>
  <si>
    <t xml:space="preserve">NB-227, NB-270</t>
  </si>
  <si>
    <t xml:space="preserve">AGG-05</t>
  </si>
  <si>
    <t xml:space="preserve">A verified rating comes only from a completed, paid visit on the platform — fake reviews are impossible. Hidden until 10 ratings, showing \</t>
  </si>
  <si>
    <t xml:space="preserve">NB-225, NB-226</t>
  </si>
  <si>
    <t xml:space="preserve">AYU-02</t>
  </si>
  <si>
    <t xml:space="preserve">Ayurveda</t>
  </si>
  <si>
    <t xml:space="preserve">Panchakarma</t>
  </si>
  <si>
    <t xml:space="preserve">AYU-03</t>
  </si>
  <si>
    <t xml:space="preserve">Herbal formulation (Ayurveda)</t>
  </si>
  <si>
    <t xml:space="preserve">Dues list</t>
  </si>
  <si>
    <t xml:space="preserve">NB-171, NB-233</t>
  </si>
  <si>
    <t xml:space="preserve">NB-126, NB-170</t>
  </si>
  <si>
    <t xml:space="preserve">BIL-11</t>
  </si>
  <si>
    <t xml:space="preserve">Insurance claim export</t>
  </si>
  <si>
    <t xml:space="preserve">NB-070, NB-175</t>
  </si>
  <si>
    <t xml:space="preserve">CAD-01</t>
  </si>
  <si>
    <t xml:space="preserve">Guided clinic setup wizard</t>
  </si>
  <si>
    <t xml:space="preserve">NB-060, NB-069, NB-339</t>
  </si>
  <si>
    <t xml:space="preserve">CAD-04 · 24 charge heads</t>
  </si>
  <si>
    <t xml:space="preserve">Schedule and calendar admin</t>
  </si>
  <si>
    <t xml:space="preserve">NB-036, NB-064, NB-090, NB-091, NB-092</t>
  </si>
  <si>
    <t xml:space="preserve">CAD-07</t>
  </si>
  <si>
    <t xml:space="preserve">WhatsApp number &amp; template health</t>
  </si>
  <si>
    <t xml:space="preserve">NB-069, NB-188, NB-189, NB-190, NB-239</t>
  </si>
  <si>
    <t xml:space="preserve">Consent &amp; privacy notice settings</t>
  </si>
  <si>
    <t xml:space="preserve">NB-063, NB-240</t>
  </si>
  <si>
    <t xml:space="preserve">Shift timings &amp; attendance (Phase 2)</t>
  </si>
  <si>
    <t xml:space="preserve">NB-065, NB-092</t>
  </si>
  <si>
    <t xml:space="preserve">Pharmacy mode configuration</t>
  </si>
  <si>
    <t xml:space="preserve">font:600 10px/14px </t>
  </si>
  <si>
    <t xml:space="preserve">NB-041, NB-045</t>
  </si>
  <si>
    <t xml:space="preserve">CAD-13</t>
  </si>
  <si>
    <t xml:space="preserve">SaaS subscription &amp; plan</t>
  </si>
  <si>
    <t xml:space="preserve">NB-008, NB-067, NB-267, NB-269, NB-280</t>
  </si>
  <si>
    <t xml:space="preserve">Ruling</t>
  </si>
  <si>
    <t xml:space="preserve">Emergency interception</t>
  </si>
  <si>
    <t xml:space="preserve">NB-217, NB-222, NB-225, NB-226</t>
  </si>
  <si>
    <t xml:space="preserve">CEO-15</t>
  </si>
  <si>
    <t xml:space="preserve">a booking + check-in convenience plan — not a clinical care contract.</t>
  </si>
  <si>
    <t xml:space="preserve">NB-088, NB-219</t>
  </si>
  <si>
    <t xml:space="preserve">CEO-17</t>
  </si>
  <si>
    <t xml:space="preserve">Blocked — requires a plan and a signed digital DPA.</t>
  </si>
  <si>
    <t xml:space="preserve">NB-242, NB-276</t>
  </si>
  <si>
    <t xml:space="preserve">capture-only, consent-worded for this purpose only, no monetisation</t>
  </si>
  <si>
    <t xml:space="preserve">CEO-27</t>
  </si>
  <si>
    <t xml:space="preserve">warning plus register — no hard block</t>
  </si>
  <si>
    <t xml:space="preserve">CGV-01</t>
  </si>
  <si>
    <t xml:space="preserve">CGV-03</t>
  </si>
  <si>
    <t xml:space="preserve">Minor &amp; guardian handling, age-18 handover</t>
  </si>
  <si>
    <t xml:space="preserve">NB-083, NB-321</t>
  </si>
  <si>
    <t xml:space="preserve">NB-085, NB-289</t>
  </si>
  <si>
    <t xml:space="preserve">CGV-10</t>
  </si>
  <si>
    <t xml:space="preserve">CMP-01</t>
  </si>
  <si>
    <t xml:space="preserve">Consent &amp; notice templates</t>
  </si>
  <si>
    <t xml:space="preserve">CMP-02</t>
  </si>
  <si>
    <t xml:space="preserve">Consent as a hard gate (owner evidence)</t>
  </si>
  <si>
    <t xml:space="preserve">NB-053, NB-196, NB-241</t>
  </si>
  <si>
    <t xml:space="preserve">CMP-03</t>
  </si>
  <si>
    <t xml:space="preserve">Patient rights self-service &amp; queue</t>
  </si>
  <si>
    <t xml:space="preserve">NB-078, NB-214, NB-243, NB-244, NB-253</t>
  </si>
  <si>
    <t xml:space="preserve">CMP-04</t>
  </si>
  <si>
    <t xml:space="preserve">Child &amp; guardian protection</t>
  </si>
  <si>
    <t xml:space="preserve">NB-082, NB-089, NB-199, NB-252</t>
  </si>
  <si>
    <t xml:space="preserve">CMP-05</t>
  </si>
  <si>
    <t xml:space="preserve">Retention auto-rules</t>
  </si>
  <si>
    <t xml:space="preserve">NB-245, NB-308</t>
  </si>
  <si>
    <t xml:space="preserve">Breach-notification runbook</t>
  </si>
  <si>
    <t xml:space="preserve">India messaging compliance (DLT)</t>
  </si>
  <si>
    <t xml:space="preserve">NB-018, NB-191, NB-194</t>
  </si>
  <si>
    <t xml:space="preserve">CMP-11</t>
  </si>
  <si>
    <t xml:space="preserve">NB-070, NB-175, NB-250</t>
  </si>
  <si>
    <t xml:space="preserve">Compliance health card + grievance setup</t>
  </si>
  <si>
    <t xml:space="preserve">Dental</t>
  </si>
  <si>
    <t xml:space="preserve">chosen once, clinic-wide. Storage always stays keyed by FDI — switching loses no data.</t>
  </si>
  <si>
    <t xml:space="preserve">NB-032, NB-120, NB-122, NB-319</t>
  </si>
  <si>
    <t xml:space="preserve">Radiograph library — tooth-linked, reachable from the chart</t>
  </si>
  <si>
    <t xml:space="preserve">dashed outline + superscript = stage order in an active plan (form, not a new colour)</t>
  </si>
  <si>
    <t xml:space="preserve">DENT-06</t>
  </si>
  <si>
    <t xml:space="preserve">subscription-controlled — historical data stays readable when a trial ends</t>
  </si>
  <si>
    <t xml:space="preserve">NB-058, NB-116, NB-121, NB-125</t>
  </si>
  <si>
    <t xml:space="preserve">DENT-07</t>
  </si>
  <si>
    <t xml:space="preserve">NB-058, NB-121, NB-126</t>
  </si>
  <si>
    <t xml:space="preserve">everything ever done to this tooth — procedures, radiographs, medicines, materials — one tap from the chart</t>
  </si>
  <si>
    <t xml:space="preserve">Derm</t>
  </si>
  <si>
    <t xml:space="preserve">subscription-controlled</t>
  </si>
  <si>
    <t xml:space="preserve">NB-032, NB-058, NB-121, NB-128, NB-129, NB-319</t>
  </si>
  <si>
    <t xml:space="preserve">NB-107, NB-108, NB-321</t>
  </si>
  <si>
    <t xml:space="preserve">DERM-06</t>
  </si>
  <si>
    <t xml:space="preserve">DERM-07</t>
  </si>
  <si>
    <t xml:space="preserve">NB-058, NB-121</t>
  </si>
  <si>
    <t xml:space="preserve">session strip — status before any detail</t>
  </si>
  <si>
    <t xml:space="preserve">DOC-02</t>
  </si>
  <si>
    <t xml:space="preserve">Previous medicines &amp; treatment — read before prescribing</t>
  </si>
  <si>
    <t xml:space="preserve">DOC-03</t>
  </si>
  <si>
    <t xml:space="preserve">Availability, leave &amp; block management</t>
  </si>
  <si>
    <t xml:space="preserve">NB-091, NB-155, NB-250</t>
  </si>
  <si>
    <t xml:space="preserve">Clinical note templates</t>
  </si>
  <si>
    <t xml:space="preserve">DOC-06</t>
  </si>
  <si>
    <t xml:space="preserve">SFDA identifiers and controlled-substance rules — KSA</t>
  </si>
  <si>
    <t xml:space="preserve">NB-010, NB-109, NB-111</t>
  </si>
  <si>
    <t xml:space="preserve">Signed — DOC-09 — the procedure can proceed</t>
  </si>
  <si>
    <t xml:space="preserve">DOC-11</t>
  </si>
  <si>
    <t xml:space="preserve">DPO-01</t>
  </si>
  <si>
    <t xml:space="preserve">Data prot.</t>
  </si>
  <si>
    <t xml:space="preserve">Consent registry &amp; audit</t>
  </si>
  <si>
    <t xml:space="preserve">NB-242, NB-272, NB-276</t>
  </si>
  <si>
    <t xml:space="preserve">DPO-02</t>
  </si>
  <si>
    <t xml:space="preserve">DSR workflow engine</t>
  </si>
  <si>
    <t xml:space="preserve">NB-244, NB-253</t>
  </si>
  <si>
    <t xml:space="preserve">DPO-03</t>
  </si>
  <si>
    <t xml:space="preserve">Breach management ops</t>
  </si>
  <si>
    <t xml:space="preserve">DPO-04</t>
  </si>
  <si>
    <t xml:space="preserve">seven states, every transition audited</t>
  </si>
  <si>
    <t xml:space="preserve">Retention &amp; deletion engine</t>
  </si>
  <si>
    <t xml:space="preserve">NB-245, NB-246, NB-247</t>
  </si>
  <si>
    <t xml:space="preserve">DPO-09</t>
  </si>
  <si>
    <t xml:space="preserve">NB-089, NB-199, NB-252</t>
  </si>
  <si>
    <t xml:space="preserve">ENT-01</t>
  </si>
  <si>
    <t xml:space="preserve">ENT</t>
  </si>
  <si>
    <t xml:space="preserve">Endoscopy image/video attach</t>
  </si>
  <si>
    <t xml:space="preserve">ENT-02</t>
  </si>
  <si>
    <t xml:space="preserve">Audiogram entry &amp; attach</t>
  </si>
  <si>
    <t xml:space="preserve">ENT-03</t>
  </si>
  <si>
    <t xml:space="preserve">Minor-procedure notes + consent</t>
  </si>
  <si>
    <t xml:space="preserve">Gen. prac.</t>
  </si>
  <si>
    <t xml:space="preserve">Chronic reviews due</t>
  </si>
  <si>
    <t xml:space="preserve">NB-074, NB-077</t>
  </si>
  <si>
    <t xml:space="preserve">Chart system gallery</t>
  </si>
  <si>
    <t xml:space="preserve">NB-022, NB-023, NB-028</t>
  </si>
  <si>
    <t xml:space="preserve">GP-04</t>
  </si>
  <si>
    <t xml:space="preserve">Referral letter generation</t>
  </si>
  <si>
    <t xml:space="preserve">Generic name printed first (India NMC norm)</t>
  </si>
  <si>
    <t xml:space="preserve">NB-010, NB-110, NB-111</t>
  </si>
  <si>
    <t xml:space="preserve">NB-105, NB-109, NB-114</t>
  </si>
  <si>
    <t xml:space="preserve">GP-07</t>
  </si>
  <si>
    <t xml:space="preserve">Medical / sick-leave certificate</t>
  </si>
  <si>
    <t xml:space="preserve">Gynae</t>
  </si>
  <si>
    <t xml:space="preserve">Pregnancy tracker (LMP → EDD timeline)</t>
  </si>
  <si>
    <t xml:space="preserve">Ultrasound report attach &amp; review</t>
  </si>
  <si>
    <t xml:space="preserve">Pregnancy and lactation warning — works without the Gynaecology profile</t>
  </si>
  <si>
    <t xml:space="preserve">NB-113, NB-321</t>
  </si>
  <si>
    <t xml:space="preserve">Homeo</t>
  </si>
  <si>
    <t xml:space="preserve">Remedy &amp; potency (Homeopathy)</t>
  </si>
  <si>
    <t xml:space="preserve">MKT-04</t>
  </si>
  <si>
    <t xml:space="preserve">Marketing</t>
  </si>
  <si>
    <t xml:space="preserve">Influencer &amp; social attribution</t>
  </si>
  <si>
    <t xml:space="preserve">NB-079, NB-230</t>
  </si>
  <si>
    <t xml:space="preserve">Non-func.</t>
  </si>
  <si>
    <t xml:space="preserve">NB-006, NB-024, NB-029, NB-200, NB-273, NB-288, NB-316, NB-324, NB-327, NB-331</t>
  </si>
  <si>
    <t xml:space="preserve">no cross-region replication, region-scoped KMS keys</t>
  </si>
  <si>
    <t xml:space="preserve">NB-001, NB-002, NB-254, NB-271, NB-283, NB-299, NB-306</t>
  </si>
  <si>
    <t xml:space="preserve">NB-040, NB-042</t>
  </si>
  <si>
    <t xml:space="preserve">NFR-07</t>
  </si>
  <si>
    <t xml:space="preserve">Regulator/owner export within 72h — NFR-07 · 3-year retention.</t>
  </si>
  <si>
    <t xml:space="preserve">NB-078, NB-244, NB-247, NB-253</t>
  </si>
  <si>
    <t xml:space="preserve">NFR-08</t>
  </si>
  <si>
    <t xml:space="preserve">Consent is checked at query level — NFR-08.</t>
  </si>
  <si>
    <t xml:space="preserve">Annual CERT-In-empanelled VAPT (NFR-09) · annual drill with tenants.</t>
  </si>
  <si>
    <t xml:space="preserve">NB-294, NB-295, NB-348</t>
  </si>
  <si>
    <t xml:space="preserve">A sync queue means a clinic working offline, not lost data. WhatsApp quality under 60% puts sending at risk.</t>
  </si>
  <si>
    <t xml:space="preserve">NB-007, NB-020, NB-096, NB-263, NB-327, NB-328, NB-330, NB-341</t>
  </si>
  <si>
    <t xml:space="preserve">Fully self-serve, no support help needed — NFR-18.</t>
  </si>
  <si>
    <t xml:space="preserve">NB-060, NB-068, NB-345</t>
  </si>
  <si>
    <t xml:space="preserve">NUR-05</t>
  </si>
  <si>
    <t xml:space="preserve">ORTH-01</t>
  </si>
  <si>
    <t xml:space="preserve">Ortho</t>
  </si>
  <si>
    <t xml:space="preserve">X-ray attach &amp; review flag</t>
  </si>
  <si>
    <t xml:space="preserve">ORTH-02</t>
  </si>
  <si>
    <t xml:space="preserve">Fracture/injury note templates</t>
  </si>
  <si>
    <t xml:space="preserve">ORTH-03</t>
  </si>
  <si>
    <t xml:space="preserve">Physio session packages</t>
  </si>
  <si>
    <t xml:space="preserve">NB-025, NB-229, NB-324, NB-332</t>
  </si>
  <si>
    <t xml:space="preserve">OWN-02</t>
  </si>
  <si>
    <t xml:space="preserve">OWN-03</t>
  </si>
  <si>
    <t xml:space="preserve">No-show prediction (rule-based)</t>
  </si>
  <si>
    <t xml:space="preserve">NB-234, NB-235</t>
  </si>
  <si>
    <t xml:space="preserve">Day close</t>
  </si>
  <si>
    <t xml:space="preserve">OWN-08</t>
  </si>
  <si>
    <t xml:space="preserve">Package liability</t>
  </si>
  <si>
    <t xml:space="preserve">NB-161, NB-232</t>
  </si>
  <si>
    <t xml:space="preserve">OWN-09</t>
  </si>
  <si>
    <t xml:space="preserve">NB-071, NB-201, NB-289</t>
  </si>
  <si>
    <t xml:space="preserve">Guided booking, tap-budgeted</t>
  </si>
  <si>
    <t xml:space="preserve">NB-080, NB-202, NB-250, NB-316</t>
  </si>
  <si>
    <t xml:space="preserve">NB-101, NB-204</t>
  </si>
  <si>
    <t xml:space="preserve">PAT-06</t>
  </si>
  <si>
    <t xml:space="preserve">Waitlist join &amp; auto-fill offers</t>
  </si>
  <si>
    <t xml:space="preserve">NB-099, NB-208</t>
  </si>
  <si>
    <t xml:space="preserve">NB-169, NB-209</t>
  </si>
  <si>
    <t xml:space="preserve">PAT-13</t>
  </si>
  <si>
    <t xml:space="preserve">NB-076, NB-213</t>
  </si>
  <si>
    <t xml:space="preserve">PAT-14</t>
  </si>
  <si>
    <t xml:space="preserve">NB-078, NB-214, NB-243</t>
  </si>
  <si>
    <t xml:space="preserve">Multilingual &amp; voice-note interaction</t>
  </si>
  <si>
    <t xml:space="preserve">NB-030, NB-039, NB-215</t>
  </si>
  <si>
    <t xml:space="preserve">Treatment-linked recall engine</t>
  </si>
  <si>
    <t xml:space="preserve">NB-116, NB-125, NB-216, NB-308</t>
  </si>
  <si>
    <t xml:space="preserve">PAT-21</t>
  </si>
  <si>
    <t xml:space="preserve">Buy a package in WhatsApp (with PKG-04)</t>
  </si>
  <si>
    <t xml:space="preserve">PAT-22</t>
  </si>
  <si>
    <t xml:space="preserve">Package session tracking</t>
  </si>
  <si>
    <t xml:space="preserve">PAT-24</t>
  </si>
  <si>
    <t xml:space="preserve">PAT-26</t>
  </si>
  <si>
    <t xml:space="preserve">NB-217, NB-226</t>
  </si>
  <si>
    <t xml:space="preserve">PED-01</t>
  </si>
  <si>
    <t xml:space="preserve">Paeds</t>
  </si>
  <si>
    <t xml:space="preserve">Vaccines due</t>
  </si>
  <si>
    <t xml:space="preserve">a single message — reconciled with PED-02's parent reminder, never two.</t>
  </si>
  <si>
    <t xml:space="preserve">PED-03</t>
  </si>
  <si>
    <t xml:space="preserve">NB-022, NB-028, NB-132</t>
  </si>
  <si>
    <t xml:space="preserve">PED-04 · triggered by a validated growth service, never calculated in the UI</t>
  </si>
  <si>
    <t xml:space="preserve">Weight-based dosing from latest recorded weight</t>
  </si>
  <si>
    <t xml:space="preserve">NB-106, NB-112, NB-321</t>
  </si>
  <si>
    <t xml:space="preserve">PED-06</t>
  </si>
  <si>
    <t xml:space="preserve">PED-06 · consent stored separately per guardian</t>
  </si>
  <si>
    <t xml:space="preserve">PED-07 · friendly avatar only, no clinical data</t>
  </si>
  <si>
    <t xml:space="preserve">PED-08</t>
  </si>
  <si>
    <t xml:space="preserve">PED-08 · content loaded from a versioned clinical source</t>
  </si>
  <si>
    <t xml:space="preserve">Full inventory, batch &amp; expiry</t>
  </si>
  <si>
    <t xml:space="preserve">NB-181, NB-187</t>
  </si>
  <si>
    <t xml:space="preserve">PHR-06</t>
  </si>
  <si>
    <t xml:space="preserve">Pharmacy items on the main bill</t>
  </si>
  <si>
    <t xml:space="preserve">PHR-09</t>
  </si>
  <si>
    <t xml:space="preserve">One-tap dispense &amp; bill</t>
  </si>
  <si>
    <t xml:space="preserve">Low-stock &amp; expiry alerts</t>
  </si>
  <si>
    <t xml:space="preserve">NB-183, NB-187</t>
  </si>
  <si>
    <t xml:space="preserve">PHR-11</t>
  </si>
  <si>
    <t xml:space="preserve">NB-178, NB-186</t>
  </si>
  <si>
    <t xml:space="preserve">PKG-02</t>
  </si>
  <si>
    <t xml:space="preserve">Blocking Dr. Meera Iyer affects an active package restricted to this doctor — PKG-02.</t>
  </si>
  <si>
    <t xml:space="preserve">PKG-04</t>
  </si>
  <si>
    <t xml:space="preserve">My package</t>
  </si>
  <si>
    <t xml:space="preserve">PKG-06</t>
  </si>
  <si>
    <t xml:space="preserve">Payment plans &amp; auto-collection</t>
  </si>
  <si>
    <t xml:space="preserve">PKG-07</t>
  </si>
  <si>
    <t xml:space="preserve">Session redemption booking</t>
  </si>
  <si>
    <t xml:space="preserve">NB-147, NB-154</t>
  </si>
  <si>
    <t xml:space="preserve">NB-136, NB-153, NB-158, NB-211</t>
  </si>
  <si>
    <t xml:space="preserve">Expiry warnings &amp; grace period</t>
  </si>
  <si>
    <t xml:space="preserve">NB-157, NB-308</t>
  </si>
  <si>
    <t xml:space="preserve">PKG-17</t>
  </si>
  <si>
    <t xml:space="preserve">PKG-18</t>
  </si>
  <si>
    <t xml:space="preserve">Package sales, redemption &amp; recognition</t>
  </si>
  <si>
    <t xml:space="preserve">an owner-only aggregate — no per-patient log, and neither the doctor nor reception sees this</t>
  </si>
  <si>
    <t xml:space="preserve">NB-100, NB-236</t>
  </si>
  <si>
    <t xml:space="preserve">RCP-07</t>
  </si>
  <si>
    <t xml:space="preserve">RCP-08</t>
  </si>
  <si>
    <t xml:space="preserve">prepaid link only — desk counter QR collection (RCP-08) is untouched.</t>
  </si>
  <si>
    <t xml:space="preserve">Shared WhatsApp inbox with canned replies</t>
  </si>
  <si>
    <t xml:space="preserve">NB-018, NB-144, NB-197</t>
  </si>
  <si>
    <t xml:space="preserve">re-checked every 3 seconds — no update within that window turns the pill stale, a dropped connection says so explicitly rather than freezing silently.</t>
  </si>
  <si>
    <t xml:space="preserve">NB-069, NB-337, NB-338, NB-339</t>
  </si>
  <si>
    <t xml:space="preserve">SCS-01</t>
  </si>
  <si>
    <t xml:space="preserve">Sales</t>
  </si>
  <si>
    <t xml:space="preserve">Self-serve trial &amp; conversion funnel</t>
  </si>
  <si>
    <t xml:space="preserve">NB-260, NB-275, NB-280</t>
  </si>
  <si>
    <t xml:space="preserve">Low-touch inside sales</t>
  </si>
  <si>
    <t xml:space="preserve">NB-277, NB-281</t>
  </si>
  <si>
    <t xml:space="preserve">NB-279, NB-281</t>
  </si>
  <si>
    <t xml:space="preserve">SaaS ops</t>
  </si>
  <si>
    <t xml:space="preserve">Tenant provisioning &amp; regions</t>
  </si>
  <si>
    <t xml:space="preserve">NB-258, NB-259, NB-260, NB-261, NB-262, NB-270, NB-275, NB-311</t>
  </si>
  <si>
    <t xml:space="preserve">seven SaaS-side roles — no single super-admin does everything</t>
  </si>
  <si>
    <t xml:space="preserve">NB-017, NB-054, NB-257, NB-317</t>
  </si>
  <si>
    <t xml:space="preserve">NB-188, NB-189, NB-190, NB-264</t>
  </si>
  <si>
    <t xml:space="preserve">A support engineer never sees clinical fields — the same overlay:\</t>
  </si>
  <si>
    <t xml:space="preserve">SSA-05</t>
  </si>
  <si>
    <t xml:space="preserve">Security incident ops</t>
  </si>
  <si>
    <t xml:space="preserve">NB-249, NB-267, NB-268, NB-273, NB-293</t>
  </si>
  <si>
    <t xml:space="preserve">SSA-06</t>
  </si>
  <si>
    <t xml:space="preserve">sync backlog, WhatsApp quality and error rate per clinic</t>
  </si>
  <si>
    <t xml:space="preserve">NB-262, NB-263</t>
  </si>
  <si>
    <t xml:space="preserve">raised by owners, staff and doctors — and system alerts raise their own</t>
  </si>
  <si>
    <t xml:space="preserve">NB-265, NB-347</t>
  </si>
  <si>
    <t xml:space="preserve">NB-256, NB-272</t>
  </si>
  <si>
    <t xml:space="preserve">SMS fallback fired now</t>
  </si>
  <si>
    <t xml:space="preserve">NB-007, NB-040, NB-193, NB-330</t>
  </si>
  <si>
    <t xml:space="preserve">SYS-02</t>
  </si>
  <si>
    <t xml:space="preserve">effective immediately (under 1 minute) on every surface — a queued reminder was just suppressed.</t>
  </si>
  <si>
    <t xml:space="preserve">NB-196, NB-199</t>
  </si>
  <si>
    <t xml:space="preserve">prayer-window reconciliation</t>
  </si>
  <si>
    <t xml:space="preserve">NB-100, NB-195</t>
  </si>
  <si>
    <t xml:space="preserve">SYS-04</t>
  </si>
  <si>
    <t xml:space="preserve">visit-type durations from the clinic template; prayer breaks from SYS-04</t>
  </si>
  <si>
    <t xml:space="preserve">NB-036, NB-090</t>
  </si>
  <si>
    <t xml:space="preserve">financial/clinical-safety class — explicit confirmation required</t>
  </si>
  <si>
    <t xml:space="preserve">NB-005, NB-056, NB-099, NB-165, NB-268</t>
  </si>
  <si>
    <t xml:space="preserve">Reason (shared SYS-07 list)</t>
  </si>
  <si>
    <t xml:space="preserve">NB-011, NB-097, NB-205</t>
  </si>
  <si>
    <t xml:space="preserve">SYS-09 · GST invoice for the full package, delivered in-thread.</t>
  </si>
  <si>
    <t xml:space="preserve">NB-163, NB-164, NB-210, NB-322</t>
  </si>
  <si>
    <t xml:space="preserve">Full claims via certified middleware — Phase 3 (SYS-10). Not designed here.</t>
  </si>
  <si>
    <t xml:space="preserve">NB-175, NB-176</t>
  </si>
  <si>
    <t xml:space="preserve">SYS-11</t>
  </si>
  <si>
    <t xml:space="preserve">Review logged to the audit trail</t>
  </si>
  <si>
    <t xml:space="preserve">NB-003, NB-048, NB-104, NB-238, NB-239, NB-272, NB-293</t>
  </si>
  <si>
    <t xml:space="preserve">installation secrets are separate from tenant integrations — two different roles</t>
  </si>
  <si>
    <t xml:space="preserve">NB-001, NB-002, NB-009, NB-254, NB-271</t>
  </si>
  <si>
    <t xml:space="preserve">a file is never sent into open chat</t>
  </si>
  <si>
    <t xml:space="preserve">NB-075, NB-076, NB-117, NB-174, NB-213, NB-292</t>
  </si>
  <si>
    <t xml:space="preserve">upgrade/downgrade without data loss, under 5 minutes</t>
  </si>
  <si>
    <t xml:space="preserve">NB-008, NB-067, NB-269, NB-280, NB-326</t>
  </si>
  <si>
    <t xml:space="preserve">SYS-21</t>
  </si>
  <si>
    <t xml:space="preserve">every step is skippable and resumable</t>
  </si>
  <si>
    <t xml:space="preserve">NB-060, NB-258</t>
  </si>
  <si>
    <t xml:space="preserve">SYS-22</t>
  </si>
  <si>
    <t xml:space="preserve">NB-263, NB-328</t>
  </si>
  <si>
    <t xml:space="preserve">self-serve import &amp; export</t>
  </si>
  <si>
    <t xml:space="preserve">NB-027, NB-068, NB-237, NB-342</t>
  </si>
  <si>
    <t xml:space="preserve">SYS-25</t>
  </si>
  <si>
    <t xml:space="preserve">The clinic never touches Meta Business Manager — SYS-25 is a fully managed service.</t>
  </si>
  <si>
    <t xml:space="preserve">Epic rollup — every cell is a formula reading the Backlog tab</t>
  </si>
  <si>
    <t xml:space="preserve">Tasks</t>
  </si>
  <si>
    <t xml:space="preserve">% of Total</t>
  </si>
  <si>
    <t xml:space="preserve">First Sprint</t>
  </si>
  <si>
    <t xml:space="preserve">Last Sprint</t>
  </si>
  <si>
    <t xml:space="preserve">Done</t>
  </si>
  <si>
    <t xml:space="preserve">% Complete</t>
  </si>
  <si>
    <t xml:space="preserve">Sprint load against ramped squad capacity</t>
  </si>
  <si>
    <t xml:space="preserve">Capacity = squads that sprint x README!B31. Squad counts are blue input cells — change them and every capacity figure moves.</t>
  </si>
  <si>
    <t xml:space="preserve">Squads</t>
  </si>
  <si>
    <t xml:space="preserve">Capacity</t>
  </si>
  <si>
    <t xml:space="preserve">Head-room</t>
  </si>
  <si>
    <t xml:space="preserve">Utilisation</t>
  </si>
  <si>
    <t xml:space="preserve">Must Tasks</t>
  </si>
  <si>
    <t xml:space="preserve">Cumulative Points</t>
  </si>
  <si>
    <t xml:space="preserve">% of Programme</t>
  </si>
  <si>
    <t xml:space="preserve">Programme shape</t>
  </si>
  <si>
    <t xml:space="preserve">Elapsed weeks</t>
  </si>
  <si>
    <t xml:space="preserve">Approximate elapsed months</t>
  </si>
  <si>
    <t xml:space="preserve">Peak people (approx, 6 per squad)</t>
  </si>
  <si>
    <t xml:space="preserve">Indicative cost (only if a day rate is set on README)</t>
  </si>
  <si>
    <t xml:space="preserve">Parallel delivery tracks</t>
  </si>
  <si>
    <t xml:space="preserve">This programme cannot be delivered by one team. These are the four workstreams the backlog naturally separates into.</t>
  </si>
  <si>
    <t xml:space="preserve">What it covers</t>
  </si>
  <si>
    <t xml:space="preserve">% of Points</t>
  </si>
  <si>
    <t xml:space="preserve">Foundation, design system, charts, i18n, auth, security, DevOps and QA — everything the other three depend on</t>
  </si>
  <si>
    <t xml:space="preserve">Reception, doctor, nurse and owner surfaces: queue, clinical, billing, packages, pharmacy, reports</t>
  </si>
  <si>
    <t xml:space="preserve">The WhatsApp patient surface, caregiver and family handling, messaging infrastructure and the aggregator</t>
  </si>
  <si>
    <t xml:space="preserve">The SaaS console: provisioning, operator roles, subscriptions, support, health, territories and growth</t>
  </si>
  <si>
    <t xml:space="preserve">Clinic role &amp; permission matrix — specification for epic E06</t>
  </si>
  <si>
    <t xml:space="preserve">Taken from the wireframe permission model. Y granted, N not granted, P plan/subscription dependent, - not applicable.</t>
  </si>
  <si>
    <t xml:space="preserve">Rule: a permission-restricted element is ABSENT, never disabled or greyed. Enforcement is server-side; the UI only reflects it. Consent is additionally checked at query level (NFR-08).</t>
  </si>
  <si>
    <t xml:space="preserve">Role</t>
  </si>
  <si>
    <t xml:space="preserve">View</t>
  </si>
  <si>
    <t xml:space="preserve">Create</t>
  </si>
  <si>
    <t xml:space="preserve">Edit</t>
  </si>
  <si>
    <t xml:space="preserve">Delete / Void</t>
  </si>
  <si>
    <t xml:space="preserve">Approve</t>
  </si>
  <si>
    <t xml:space="preserve">Refund / Discount</t>
  </si>
  <si>
    <t xml:space="preserve">Export</t>
  </si>
  <si>
    <t xml:space="preserve">Notes</t>
  </si>
  <si>
    <t xml:space="preserve">Owner / Manager</t>
  </si>
  <si>
    <t xml:space="preserve">Y</t>
  </si>
  <si>
    <t xml:space="preserve">-</t>
  </si>
  <si>
    <t xml:space="preserve">Queue &amp; Appointments</t>
  </si>
  <si>
    <t xml:space="preserve">Clinical Records</t>
  </si>
  <si>
    <t xml:space="preserve">N</t>
  </si>
  <si>
    <t xml:space="preserve">Billing &amp; Payments</t>
  </si>
  <si>
    <t xml:space="preserve">P</t>
  </si>
  <si>
    <t xml:space="preserve">Pharmacy availability follows the tenant plan and pharmacy mode (CAD-11), not the role.</t>
  </si>
  <si>
    <t xml:space="preserve">Staff &amp; Access</t>
  </si>
  <si>
    <t xml:space="preserve">Clinic Setup</t>
  </si>
  <si>
    <t xml:space="preserve">Compliance &amp; Audit</t>
  </si>
  <si>
    <t xml:space="preserve">Scope is per staff member: own patients only, or all clinic patients. Enforced in the query (E06).</t>
  </si>
  <si>
    <t xml:space="preserve">External mode removes dispensing entirely; hybrid and in-house are paid tiers.</t>
  </si>
  <si>
    <t xml:space="preserve">Receptionist</t>
  </si>
  <si>
    <t xml:space="preserve">Refund and discount rights are individually revocable — the wireframe shows a 'no refund, no discount' receptionist.</t>
  </si>
  <si>
    <t xml:space="preserve">May be narrowed to vitals and vaccines only.</t>
  </si>
  <si>
    <t xml:space="preserve">Custom (Front Desk + Vitals)</t>
  </si>
  <si>
    <t xml:space="preserve">The wireframe's example custom role: 'no financial fields'.</t>
  </si>
  <si>
    <t xml:space="preserve">Platform-side operator roles (SSA-02) — specification for epic E22</t>
  </si>
  <si>
    <t xml:space="preserve">Seven roles. No single super-admin does everything. A role without create rights has no create button anywhere — the element is absent, not disabled.</t>
  </si>
  <si>
    <t xml:space="preserve">Surface</t>
  </si>
  <si>
    <t xml:space="preserve">Super admin</t>
  </si>
  <si>
    <t xml:space="preserve">Implementation</t>
  </si>
  <si>
    <t xml:space="preserve">Support engineer</t>
  </si>
  <si>
    <t xml:space="preserve">SRE</t>
  </si>
  <si>
    <t xml:space="preserve">Commercial (read-only)</t>
  </si>
  <si>
    <t xml:space="preserve">Compliance / DPO</t>
  </si>
  <si>
    <t xml:space="preserve">Command Centre</t>
  </si>
  <si>
    <t xml:space="preserve">Clinics / fleet</t>
  </si>
  <si>
    <t xml:space="preserve">—</t>
  </si>
  <si>
    <t xml:space="preserve">Tenant detail</t>
  </si>
  <si>
    <t xml:space="preserve">Onboarding / provisioning</t>
  </si>
  <si>
    <t xml:space="preserve">Provisioning jobs</t>
  </si>
  <si>
    <t xml:space="preserve">Billing &amp; revenue</t>
  </si>
  <si>
    <t xml:space="preserve">Support tickets</t>
  </si>
  <si>
    <t xml:space="preserve">Pricing &amp; packaging</t>
  </si>
  <si>
    <t xml:space="preserve">Territories</t>
  </si>
  <si>
    <t xml:space="preserve">Messaging operations</t>
  </si>
  <si>
    <t xml:space="preserve">Platform health</t>
  </si>
  <si>
    <t xml:space="preserve">Aggregator &amp; demand</t>
  </si>
  <si>
    <t xml:space="preserve">Support access</t>
  </si>
  <si>
    <t xml:space="preserve">Audit &amp; compliance</t>
  </si>
  <si>
    <t xml:space="preserve">Hard rules from the wireframe</t>
  </si>
  <si>
    <t xml:space="preserve">• Only Super admin and Implementation may create a tenant. For every other role no create button exists anywhere (SSA-02).</t>
  </si>
  <si>
    <t xml:space="preserve">• A support engineer never sees clinical fields — the same restricted overlay the clinic itself sees (SSA-04).</t>
  </si>
  <si>
    <t xml:space="preserve">• Support access into a tenant requires consent, is time-boxed, shows the tenant a banner, and is fully audited.</t>
  </si>
  <si>
    <t xml:space="preserve">• Commercial is read-only by construction, not by convention.</t>
  </si>
  <si>
    <t xml:space="preserve">• Compliance / DPO reaches audit and residency surfaces but not billing or provisioning.</t>
  </si>
  <si>
    <t xml:space="preserve">Cybersecurity, privacy and compliance control checklist</t>
  </si>
  <si>
    <t xml:space="preserve">Each control names the backlog task that delivers it. Use this as the pre-go-live gate.</t>
  </si>
  <si>
    <t xml:space="preserve">Domain</t>
  </si>
  <si>
    <t xml:space="preserve">Control</t>
  </si>
  <si>
    <t xml:space="preserve">Delivered by</t>
  </si>
  <si>
    <t xml:space="preserve">Task ID</t>
  </si>
  <si>
    <t xml:space="preserve">Gate</t>
  </si>
  <si>
    <t xml:space="preserve">Verified?</t>
  </si>
  <si>
    <t xml:space="preserve">Evidence / Link</t>
  </si>
  <si>
    <t xml:space="preserve">Identity</t>
  </si>
  <si>
    <t xml:space="preserve">Staff sign-in limited to WhatsApp OTP, short PIN or authenticator app — no SSO, no hardware keys (NFR-06)</t>
  </si>
  <si>
    <t xml:space="preserve">Staff authentication — WhatsApp OTP</t>
  </si>
  <si>
    <t xml:space="preserve">Go-live blocker</t>
  </si>
  <si>
    <t xml:space="preserve">No</t>
  </si>
  <si>
    <t xml:space="preserve">Verified email and mobile both required before any patient data is reachable (CAD-12)</t>
  </si>
  <si>
    <t xml:space="preserve">Dual-channel staff identity</t>
  </si>
  <si>
    <t xml:space="preserve">Authenticator MFA enforced for Owner, Platform operators and refund/discount holders</t>
  </si>
  <si>
    <t xml:space="preserve">Short-lived tokens, rotating refresh, reuse detection, remote session revoke</t>
  </si>
  <si>
    <t xml:space="preserve">Shared-workstation auto-lock without losing draft clinical notes</t>
  </si>
  <si>
    <t xml:space="preserve">Break-glass access is time-boxed, reason-captured and loudly alerted</t>
  </si>
  <si>
    <t xml:space="preserve">Post-launch acceptable</t>
  </si>
  <si>
    <t xml:space="preserve">Access control</t>
  </si>
  <si>
    <t xml:space="preserve">Deny-by-default server-side authorisation on every endpoint</t>
  </si>
  <si>
    <t xml:space="preserve">Row-level patient scoping enforced in the query, not by post-filtering</t>
  </si>
  <si>
    <t xml:space="preserve">Row-level scoping</t>
  </si>
  <si>
    <t xml:space="preserve">Field-level restrictions applied in the API response, not merely hidden in the UI</t>
  </si>
  <si>
    <t xml:space="preserve">Consent evaluated at query level — the UI is not the enforcement point (NFR-08)</t>
  </si>
  <si>
    <t xml:space="preserve">Maker-checker on refunds, large discounts and clinical amendments</t>
  </si>
  <si>
    <t xml:space="preserve">Restricted elements are absent from the UI, never disabled</t>
  </si>
  <si>
    <t xml:space="preserve">Seven segregated SaaS operator roles; no single super-admin does everything (SSA-02)</t>
  </si>
  <si>
    <t xml:space="preserve">Support engineers are blind to clinical fields (SSA-04)</t>
  </si>
  <si>
    <t xml:space="preserve">Support access with consent gate</t>
  </si>
  <si>
    <t xml:space="preserve">Tenancy</t>
  </si>
  <si>
    <t xml:space="preserve">Tenant isolation verified by test; no cross-tenant read path</t>
  </si>
  <si>
    <t xml:space="preserve">Multi-tenancy isolation model</t>
  </si>
  <si>
    <t xml:space="preserve">Region locked irreversibly at provisioning; no cross-region replication (SYS-14 / NFR-04)</t>
  </si>
  <si>
    <t xml:space="preserve">Multi-region deployment &amp; residency</t>
  </si>
  <si>
    <t xml:space="preserve">Installation secrets separated from tenant integration secrets (SYS-14)</t>
  </si>
  <si>
    <t xml:space="preserve">Config &amp; secrets management with role</t>
  </si>
  <si>
    <t xml:space="preserve">Cryptography</t>
  </si>
  <si>
    <t xml:space="preserve">Region-scoped KMS with per-tenant keys and a documented rotation runbook (NFR-04)</t>
  </si>
  <si>
    <t xml:space="preserve">Region-scoped encryption at rest</t>
  </si>
  <si>
    <t xml:space="preserve">TLS 1.3 only, HSTS preload, automated certificate renewal</t>
  </si>
  <si>
    <t xml:space="preserve">Encryption in transit</t>
  </si>
  <si>
    <t xml:space="preserve">Column-level encryption for national identifiers</t>
  </si>
  <si>
    <t xml:space="preserve">PHI field-level encryption</t>
  </si>
  <si>
    <t xml:space="preserve">Application</t>
  </si>
  <si>
    <t xml:space="preserve">Parameterised queries and schema validation on every endpoint</t>
  </si>
  <si>
    <t xml:space="preserve">OWASP Top 10 and API Top 10 pass, including IDOR/BOLA on patient and family-scoped routes</t>
  </si>
  <si>
    <t xml:space="preserve">OWASP Top 10 &amp; API Top 10</t>
  </si>
  <si>
    <t xml:space="preserve">Content Security Policy in enforce mode; no inline script</t>
  </si>
  <si>
    <t xml:space="preserve">Uploads type-verified, AV-scanned and served only via signed short-lived URLs</t>
  </si>
  <si>
    <t xml:space="preserve">Rate limiting per IP, tenant, user and phone number, including the public aggregator number</t>
  </si>
  <si>
    <t xml:space="preserve">Rate limiting, bot &amp; abuse</t>
  </si>
  <si>
    <t xml:space="preserve">A file is never sent into open chat — always an expiring, access-logged link (SYS-18)</t>
  </si>
  <si>
    <t xml:space="preserve">Number change or re-registration requires re-verification before any patient data is released</t>
  </si>
  <si>
    <t xml:space="preserve">Messaging channel abuse</t>
  </si>
  <si>
    <t xml:space="preserve">Fixed template text is uneditable in every send path, including the API</t>
  </si>
  <si>
    <t xml:space="preserve">Consent gate on every outbound send, effective across all surfaces within one minute (SYS-02)</t>
  </si>
  <si>
    <t xml:space="preserve">Child profiles can never receive marketing, enforced server-side (DPO-09 / CMP-04)</t>
  </si>
  <si>
    <t xml:space="preserve">Child marketing block</t>
  </si>
  <si>
    <t xml:space="preserve">India DLT registration complete; the surface is entirely absent for KSA tenants (CMP-07)</t>
  </si>
  <si>
    <t xml:space="preserve">India DLT registration</t>
  </si>
  <si>
    <t xml:space="preserve">Go-live blocker in India</t>
  </si>
  <si>
    <t xml:space="preserve">Supply chain</t>
  </si>
  <si>
    <t xml:space="preserve">SCA in CI, SBOM per release, patch SLA by severity, build fails on critical CVE</t>
  </si>
  <si>
    <t xml:space="preserve">Secrets scanning &amp; dependency</t>
  </si>
  <si>
    <t xml:space="preserve">Detection</t>
  </si>
  <si>
    <t xml:space="preserve">SIEM alerting on auth failures, privilege change, support access and mass export</t>
  </si>
  <si>
    <t xml:space="preserve">Security logging, SIEM</t>
  </si>
  <si>
    <t xml:space="preserve">Immutable append-only audit trail with before/after values (SYS-13)</t>
  </si>
  <si>
    <t xml:space="preserve">No PHI written to application logs — verified by an automated scanner</t>
  </si>
  <si>
    <t xml:space="preserve">Observability — metrics</t>
  </si>
  <si>
    <t xml:space="preserve">Resilience</t>
  </si>
  <si>
    <t xml:space="preserve">Encrypted backups with point-in-time recovery, never crossing a region boundary</t>
  </si>
  <si>
    <t xml:space="preserve">Backup, retention &amp; restore</t>
  </si>
  <si>
    <t xml:space="preserve">Immutable backup copies and an isolated recovery environment for ransomware</t>
  </si>
  <si>
    <t xml:space="preserve">Business continuity &amp; ransomware</t>
  </si>
  <si>
    <t xml:space="preserve">DR drill meeting RTO 4h / RPO 15 min in both regions</t>
  </si>
  <si>
    <t xml:space="preserve">Disaster recovery — RTO/RPO</t>
  </si>
  <si>
    <t xml:space="preserve">A third-party outage never blocks clinical or billing work</t>
  </si>
  <si>
    <t xml:space="preserve">Graceful degradation for third-party</t>
  </si>
  <si>
    <t xml:space="preserve">A sync backlog is treated as a clinic working offline, not as lost data (SYS-22 / NFR-12)</t>
  </si>
  <si>
    <t xml:space="preserve">Assurance</t>
  </si>
  <si>
    <t xml:space="preserve">Annual CERT-In-empanelled VAPT for India, plus the annual tenant drill (NFR-09)</t>
  </si>
  <si>
    <t xml:space="preserve">Annual CERT-In-empanelled VAPT</t>
  </si>
  <si>
    <t xml:space="preserve">Independent penetration test covering the KSA stack</t>
  </si>
  <si>
    <t xml:space="preserve">KSA penetration test</t>
  </si>
  <si>
    <t xml:space="preserve">Go-live blocker in KSA</t>
  </si>
  <si>
    <t xml:space="preserve">Threat model reviewed with mitigations tracked</t>
  </si>
  <si>
    <t xml:space="preserve">Threat model &amp; security architecture</t>
  </si>
  <si>
    <t xml:space="preserve">Breach runbook with a completed tabletop exercise</t>
  </si>
  <si>
    <t xml:space="preserve">Platform-side breach and incident operations console (DPO-03 / SSA-05)</t>
  </si>
  <si>
    <t xml:space="preserve">Privacy — India</t>
  </si>
  <si>
    <t xml:space="preserve">DPDP Act 2023 pack: consent, notice, rights, grievance officer, breach reporting</t>
  </si>
  <si>
    <t xml:space="preserve">India DPDP Act 2023</t>
  </si>
  <si>
    <t xml:space="preserve">Privacy — Saudi</t>
  </si>
  <si>
    <t xml:space="preserve">PDPL / SDAIA pack: residency, controller obligations, cross-border rules, retention</t>
  </si>
  <si>
    <t xml:space="preserve">Saudi PDPL &amp; SDAIA</t>
  </si>
  <si>
    <t xml:space="preserve">Privacy</t>
  </si>
  <si>
    <t xml:space="preserve">Consent versioned, withdrawable, and a hard gate with owner evidence (CMP-01 / CMP-02)</t>
  </si>
  <si>
    <t xml:space="preserve">Consent as a hard gate</t>
  </si>
  <si>
    <t xml:space="preserve">Consent and DPA registry with full version audit (DPO-01)</t>
  </si>
  <si>
    <t xml:space="preserve">DSR engine with statutory timers and automatic closure letters (DPO-02)</t>
  </si>
  <si>
    <t xml:space="preserve">Regulator or owner export within 72 hours, 3-year retention (NFR-07)</t>
  </si>
  <si>
    <t xml:space="preserve">Retention defaults active from day one with a pre-delete notice (CMP-05)</t>
  </si>
  <si>
    <t xml:space="preserve">Retention clocks per region with legal hold overriding erasure</t>
  </si>
  <si>
    <t xml:space="preserve">Data classification standard applied to every table and log field</t>
  </si>
  <si>
    <t xml:space="preserve">Plan plus signed digital DPA required before the tenant may hold patient data (CEO-17)</t>
  </si>
  <si>
    <t xml:space="preserve">Digital DPA gate</t>
  </si>
  <si>
    <t xml:space="preserve">Payments</t>
  </si>
  <si>
    <t xml:space="preserve">PCI-DSS SAQ-A scope: no card data touches Nabd servers</t>
  </si>
  <si>
    <t xml:space="preserve">ZATCA e-invoicing passes the sandbox compliance validator</t>
  </si>
  <si>
    <t xml:space="preserve">Saudi VAT &amp; ZATCA</t>
  </si>
  <si>
    <t xml:space="preserve">GST and ZATCA output independently verified against worked examples</t>
  </si>
  <si>
    <t xml:space="preserve">Clinical safety</t>
  </si>
  <si>
    <t xml:space="preserve">Allergy conflicts cannot be overridden without a documented reason (DERM-05)</t>
  </si>
  <si>
    <t xml:space="preserve">Allergy hard-warning</t>
  </si>
  <si>
    <t xml:space="preserve">Paediatric dosing derives from recorded weight via a named, versioned rule source (PED-05)</t>
  </si>
  <si>
    <t xml:space="preserve">Pregnancy and lactation warnings fire without the Gynaecology profile (GYN-03)</t>
  </si>
  <si>
    <t xml:space="preserve">Signed clinical notes immutable; amendments append with reason and author</t>
  </si>
  <si>
    <t xml:space="preserve">Clinical note amendment</t>
  </si>
  <si>
    <t xml:space="preserve">A procedure cannot proceed without recorded consent (DOC-09)</t>
  </si>
  <si>
    <t xml:space="preserve">Emergency phrases halt aggregator routing and show emergency guidance only (AGG-02)</t>
  </si>
  <si>
    <t xml:space="preserve">Go-live blocker for aggregator</t>
  </si>
  <si>
    <t xml:space="preserve">Hazard log reviewed and signed by a clinical safety officer</t>
  </si>
  <si>
    <t xml:space="preserve">Clinical safety test cases</t>
  </si>
  <si>
    <t xml:space="preserve">Traceability</t>
  </si>
  <si>
    <t xml:space="preserve">Every wireframe requirement identifier mapped to a delivered, tested task</t>
  </si>
  <si>
    <t xml:space="preserve">People</t>
  </si>
  <si>
    <t xml:space="preserve">Security awareness and clinical data handling training completed by all staff</t>
  </si>
  <si>
    <t xml:space="preserve">Staff security awareness &amp; data handling</t>
  </si>
  <si>
    <t xml:space="preserve">Before pilot</t>
  </si>
  <si>
    <t xml:space="preserve">Go-live gate</t>
  </si>
  <si>
    <t xml:space="preserve">Blocking controls outstanding</t>
  </si>
  <si>
    <t xml:space="preserve">Controls verified</t>
  </si>
  <si>
    <t xml:space="preserve">Delivery, security and clinical-safety risks</t>
  </si>
  <si>
    <t xml:space="preserve">Category</t>
  </si>
  <si>
    <t xml:space="preserve">Risk</t>
  </si>
  <si>
    <t xml:space="preserve">Impact (1-5)</t>
  </si>
  <si>
    <t xml:space="preserve">Likelihood (1-5)</t>
  </si>
  <si>
    <t xml:space="preserve">Score</t>
  </si>
  <si>
    <t xml:space="preserve">Mitigation</t>
  </si>
  <si>
    <t xml:space="preserve">Related Tasks</t>
  </si>
  <si>
    <t xml:space="preserve">R-01</t>
  </si>
  <si>
    <t xml:space="preserve">A prescribing, dosing or allergy defect reaches production and causes patient harm.</t>
  </si>
  <si>
    <t xml:space="preserve">Clinical safety test suite and hazard log signed by a clinical safety officer; mandatory override reasons; validated dose rule source; staged pilot rollout.</t>
  </si>
  <si>
    <t xml:space="preserve">NB-321, NB-108, NB-112</t>
  </si>
  <si>
    <t xml:space="preserve">Clinical Lead</t>
  </si>
  <si>
    <t xml:space="preserve">R-02</t>
  </si>
  <si>
    <t xml:space="preserve">The aggregator routes an emergency to a clinic instead of emergency services.</t>
  </si>
  <si>
    <t xml:space="preserve">Emergency phrase interception in every supported language runs before any routing; Nabd never interprets symptoms; unmatched input goes to reception, not a guess.</t>
  </si>
  <si>
    <t xml:space="preserve">NB-222, NB-223</t>
  </si>
  <si>
    <t xml:space="preserve">R-03</t>
  </si>
  <si>
    <t xml:space="preserve">Cross-tenant or cross-region leakage breaches PDPL residency rules.</t>
  </si>
  <si>
    <t xml:space="preserve">Isolation proven by PoC in sprint 1; region locked irreversibly at provisioning; region-scoped KMS; no cross-region replication; independent penetration test per region.</t>
  </si>
  <si>
    <t xml:space="preserve">NB-002, NB-271, NB-295</t>
  </si>
  <si>
    <t xml:space="preserve">Security Lead</t>
  </si>
  <si>
    <t xml:space="preserve">R-04</t>
  </si>
  <si>
    <t xml:space="preserve">The public aggregator number becomes an attack and enumeration surface.</t>
  </si>
  <si>
    <t xml:space="preserve">Per-number and per-IP rate limiting, re-verification on number change before any data release, and abuse monitoring from day one of the aggregator build.</t>
  </si>
  <si>
    <t xml:space="preserve">NB-288, NB-289</t>
  </si>
  <si>
    <t xml:space="preserve">R-05</t>
  </si>
  <si>
    <t xml:space="preserve">Vendor</t>
  </si>
  <si>
    <t xml:space="preserve">Meta rejects templates, throttles quality or delays WhatsApp onboarding, stalling the patient product.</t>
  </si>
  <si>
    <t xml:space="preserve">Managed onboarding started in sprint 9 ahead of patient build; fleet quality monitoring; automatic SMS fallback; no clinical journey is ever blocked on messaging.</t>
  </si>
  <si>
    <t xml:space="preserve">NB-188, NB-264, NB-193</t>
  </si>
  <si>
    <t xml:space="preserve">Integration Lead</t>
  </si>
  <si>
    <t xml:space="preserve">R-06</t>
  </si>
  <si>
    <t xml:space="preserve">ZATCA Phase-2 e-invoicing rejects invoices and blocks billing in Saudi Arabia.</t>
  </si>
  <si>
    <t xml:space="preserve">Build against the ZATCA sandbox from sprint 12; validate with the official compliance tool; independent tax test pack; manual invoice fallback retained.</t>
  </si>
  <si>
    <t xml:space="preserve">NB-164, NB-322</t>
  </si>
  <si>
    <t xml:space="preserve">Finance / Tech Lead</t>
  </si>
  <si>
    <t xml:space="preserve">R-07</t>
  </si>
  <si>
    <t xml:space="preserve">India GST treatment of clinical services is misapplied, creating tax exposure.</t>
  </si>
  <si>
    <t xml:space="preserve">Independent tax review of the GST engine; effective-dated rate tables; worked-example test pack reproduced to the paisa.</t>
  </si>
  <si>
    <t xml:space="preserve">NB-163, NB-322</t>
  </si>
  <si>
    <t xml:space="preserve">Finance Lead</t>
  </si>
  <si>
    <t xml:space="preserve">R-08</t>
  </si>
  <si>
    <t xml:space="preserve">India DLT registration delays block all messaging to Indian patients.</t>
  </si>
  <si>
    <t xml:space="preserve">Start DLT registration in parallel with the messaging build in sprint 13; keep templates minimal and stable; SMS fallback also requires DLT, so treat it as a single critical path.</t>
  </si>
  <si>
    <t xml:space="preserve">R-09</t>
  </si>
  <si>
    <t xml:space="preserve">Scope is roughly double v1 and cannot be absorbed by a single team.</t>
  </si>
  <si>
    <t xml:space="preserve">Four explicit delivery tracks; squad ramp published on the Sprints tab peaking at five squads; Phase 2 and Phase 3 items are separately funded and can be cut without touching MVP.</t>
  </si>
  <si>
    <t xml:space="preserve">Delivery Manager</t>
  </si>
  <si>
    <t xml:space="preserve">R-10</t>
  </si>
  <si>
    <t xml:space="preserve">Nine clinical specialties are treated as one workstream and swamp the clinical track.</t>
  </si>
  <si>
    <t xml:space="preserve">Specialty profile framework first, then one specialty at a time behind an entitlement flag; ENT, Ayurveda and Homeopathy are Phase 2 and droppable.</t>
  </si>
  <si>
    <t xml:space="preserve">NB-121, NB-122</t>
  </si>
  <si>
    <t xml:space="preserve">Product Owner</t>
  </si>
  <si>
    <t xml:space="preserve">R-11</t>
  </si>
  <si>
    <t xml:space="preserve">RBAC complexity — twelve roles across clinic and platform — is underestimated.</t>
  </si>
  <si>
    <t xml:space="preserve">Permission model built in sprint 4 before feature work; automated role-by-endpoint negative-test suite covering all twelve roles from sprint 12.</t>
  </si>
  <si>
    <t xml:space="preserve">NB-049, NB-257, NB-317</t>
  </si>
  <si>
    <t xml:space="preserve">Tech Lead</t>
  </si>
  <si>
    <t xml:space="preserve">R-12</t>
  </si>
  <si>
    <t xml:space="preserve">Product</t>
  </si>
  <si>
    <t xml:space="preserve">The patient WhatsApp journey exceeds its tap budget and patients abandon booking.</t>
  </si>
  <si>
    <t xml:space="preserve">Tap budgets are asserted automatically in the conversation test harness, not reviewed by eye; single-member numbers never see a picker.</t>
  </si>
  <si>
    <t xml:space="preserve">NB-202, NB-316</t>
  </si>
  <si>
    <t xml:space="preserve">R-13</t>
  </si>
  <si>
    <t xml:space="preserve">Family and proxy handling leaks one member's data to another.</t>
  </si>
  <si>
    <t xml:space="preserve">Consent captured per member; proxy scope explicit and revocable immediately; wrong-family-member added to the clinical hazard log; IDOR testing covers family-scoped routes.</t>
  </si>
  <si>
    <t xml:space="preserve">NB-081, NB-085, NB-321</t>
  </si>
  <si>
    <t xml:space="preserve">R-14</t>
  </si>
  <si>
    <t xml:space="preserve">Localisation</t>
  </si>
  <si>
    <t xml:space="preserve">Arabic RTL, Hijri and anatomy-mirroring defects are found late because testing is English-first.</t>
  </si>
  <si>
    <t xml:space="preserve">Pseudo-locale from sprint 3; RTL visual regression in CI including anatomy and chart time axes; native clinician sign-off on clinical strings.</t>
  </si>
  <si>
    <t xml:space="preserve">NB-031, NB-319, NB-038</t>
  </si>
  <si>
    <t xml:space="preserve">QA Lead</t>
  </si>
  <si>
    <t xml:space="preserve">R-15</t>
  </si>
  <si>
    <t xml:space="preserve">Operations</t>
  </si>
  <si>
    <t xml:space="preserve">Clinic connectivity is poor and staff believe queued work has been lost.</t>
  </si>
  <si>
    <t xml:space="preserve">Offline queue with ordered replay; sync banner states queued counts; platform health reports a backlog as offline working, not data loss; no destructive action offered while queued.</t>
  </si>
  <si>
    <t xml:space="preserve">NB-328, NB-263</t>
  </si>
  <si>
    <t xml:space="preserve">Frontend Lead</t>
  </si>
  <si>
    <t xml:space="preserve">R-16</t>
  </si>
  <si>
    <t xml:space="preserve">Morning-rush clinic load plus unbounded patient messaging concurrency degrades the queue.</t>
  </si>
  <si>
    <t xml:space="preserve">Load test to twice expected peak on both sides; read-model separation for reports; provider backpressure rather than message loss.</t>
  </si>
  <si>
    <t xml:space="preserve">NB-327, NB-331, NB-228</t>
  </si>
  <si>
    <t xml:space="preserve">Platform Lead</t>
  </si>
  <si>
    <t xml:space="preserve">R-17</t>
  </si>
  <si>
    <t xml:space="preserve">Adoption</t>
  </si>
  <si>
    <t xml:space="preserve">Reception reverts to paper because checkout is slower than their current process.</t>
  </si>
  <si>
    <t xml:space="preserve">Time-on-task testing during UAT; keyboard-first checkout; command palette; pilot feedback loop in both regions.</t>
  </si>
  <si>
    <t xml:space="preserve">NB-323, NB-162</t>
  </si>
  <si>
    <t xml:space="preserve">R-18</t>
  </si>
  <si>
    <t xml:space="preserve">Legacy migration produces duplicate or mismatched patient records.</t>
  </si>
  <si>
    <t xml:space="preserve">Dry-run imports with a validation report before any write; supervised merge with a 30-day reversal window.</t>
  </si>
  <si>
    <t xml:space="preserve">NB-342, NB-072</t>
  </si>
  <si>
    <t xml:space="preserve">Data Lead</t>
  </si>
  <si>
    <t xml:space="preserve">R-19</t>
  </si>
  <si>
    <t xml:space="preserve">Commercial</t>
  </si>
  <si>
    <t xml:space="preserve">Self-serve trials create tenants holding patient data without a signed DPA.</t>
  </si>
  <si>
    <t xml:space="preserve">The digital DPA gate blocks patient data entry until a plan is chosen and the DPA signed and versioned in the consent registry.</t>
  </si>
  <si>
    <t xml:space="preserve">NB-276, NB-275</t>
  </si>
  <si>
    <t xml:space="preserve">R-20</t>
  </si>
  <si>
    <t xml:space="preserve">Payment gateway, lab or growth-service partners change their API mid-build.</t>
  </si>
  <si>
    <t xml:space="preserve">An anti-corruption layer per integration; mock harness in CI; contract tests against provider sandboxes; growth percentiles deliberately delegated to a validated service.</t>
  </si>
  <si>
    <t xml:space="preserve">NB-168, NB-132</t>
  </si>
  <si>
    <t xml:space="preserve">Score = Impact x Likelihood. 15 and above is red and needs an active mitigation owner reporting weekly.</t>
  </si>
  <si>
    <t xml:space="preserve">What changed when the wireframe was updated</t>
  </si>
  <si>
    <t xml:space="preserve">v1 (11 Aug): 202 tasks / 1,210 points. v2 (13 Aug): 349 tasks / 2,260 points.</t>
  </si>
  <si>
    <t xml:space="preserve">Change</t>
  </si>
  <si>
    <t xml:space="preserve">Type</t>
  </si>
  <si>
    <t xml:space="preserve">Detail</t>
  </si>
  <si>
    <t xml:space="preserve">Impact</t>
  </si>
  <si>
    <t xml:space="preserve">Requirement register introduced</t>
  </si>
  <si>
    <t xml:space="preserve">Added</t>
  </si>
  <si>
    <t xml:space="preserve">The wireframe now carries 185 formal requirement identifiers across 30 prefixes. Every task is traced to them and the Requirement Coverage tab proves complete coverage.</t>
  </si>
  <si>
    <t xml:space="preserve">New traceability tab; a Requirement IDs column on every task</t>
  </si>
  <si>
    <t xml:space="preserve">Patient WhatsApp surface</t>
  </si>
  <si>
    <t xml:space="preserve">PAT-01 to PAT-26. The patient product is a WhatsApp conversation, not a web portal — registration, booking, queue, payments, documents, privacy and language all in chat.</t>
  </si>
  <si>
    <t xml:space="preserve">New epic E18, 20 tasks, 128 points</t>
  </si>
  <si>
    <t xml:space="preserve">Caregiver, family &amp; guardianship</t>
  </si>
  <si>
    <t xml:space="preserve">CGV-01 to CGV-10. One number for a whole family, proxy booking, dual delivery, revocation, age-18 handover and family plans.</t>
  </si>
  <si>
    <t xml:space="preserve">New epic E09, 10 tasks, 65 points</t>
  </si>
  <si>
    <t xml:space="preserve">Aggregator &amp; demand layer</t>
  </si>
  <si>
    <t xml:space="preserve">AGG-01 to AGG-05. A shared Nabd number with invisible routing, emergency interception, word-to-specialty matching and verified-visit ratings.</t>
  </si>
  <si>
    <t xml:space="preserve">New epic E19, 7 tasks, 56 points</t>
  </si>
  <si>
    <t xml:space="preserve">Platform console rebuilt</t>
  </si>
  <si>
    <t xml:space="preserve">Expanded</t>
  </si>
  <si>
    <t xml:space="preserve">Seven segregated SaaS operator roles, provisioning as a resumable job queue rather than a wizard, subscriptions and dunning, discount approvals, support tickets with SLA, platform health and territories.</t>
  </si>
  <si>
    <t xml:space="preserve">E22 grew from 10 tasks to 18</t>
  </si>
  <si>
    <t xml:space="preserve">Chart &amp; data-visualisation system</t>
  </si>
  <si>
    <t xml:space="preserve">DESIGN.md 8.22-8.29: an eight-slot series palette, all-pairs colour gate, inline SVG only, ten mandatory chart states and a table view for every chart.</t>
  </si>
  <si>
    <t xml:space="preserve">New epic E03, 8 tasks, 49 points</t>
  </si>
  <si>
    <t xml:space="preserve">Messaging component set &amp; infrastructure</t>
  </si>
  <si>
    <t xml:space="preserve">DESIGN.md 8.16-8.21 plus managed WhatsApp onboarding, template governance, 24-hour session windows, delivery states, SMS fallback and India DLT.</t>
  </si>
  <si>
    <t xml:space="preserve">New epic E17, 13 tasks, 100 points</t>
  </si>
  <si>
    <t xml:space="preserve">Pharmacy properly specified</t>
  </si>
  <si>
    <t xml:space="preserve">PHR-01 to PHR-12 with three modes (external, hybrid, in-house), FEFO batch handling, controlled-drug register, refills and adherence capture.</t>
  </si>
  <si>
    <t xml:space="preserve">Was one deferred task in v1; now epic E16 with 11 tasks</t>
  </si>
  <si>
    <t xml:space="preserve">Compliance &amp; data protection deepened</t>
  </si>
  <si>
    <t xml:space="preserve">CMP-01 to CMP-12 and DPO-01 to DPO-09: consent template library, consent as a hard gate, DSR engine with statutory timers, retention engine, breach ops, licence tracker and child-data controls.</t>
  </si>
  <si>
    <t xml:space="preserve">E21 grew from 8 tasks to 19</t>
  </si>
  <si>
    <t xml:space="preserve">Specialty workspaces broken out</t>
  </si>
  <si>
    <t xml:space="preserve">Nine specialties now specified individually: Dental (FDI storage, radiographs, staging, orthodontics, per-tooth timeline), Dermatology, Paediatrics, General practice, Orthopaedics, Gynaecology, ENT, Ayurveda and Homeopathy.</t>
  </si>
  <si>
    <t xml:space="preserve">Was one 13-point task; now epic E12 with 21 tasks</t>
  </si>
  <si>
    <t xml:space="preserve">Clinic setup &amp; administration</t>
  </si>
  <si>
    <t xml:space="preserve">CAD-01 to CAD-13: a skippable, resumable, fully self-serve setup wizard, price master, policy settings, shift timings and self-serve import/export.</t>
  </si>
  <si>
    <t xml:space="preserve">New epic E07, 11 tasks</t>
  </si>
  <si>
    <t xml:space="preserve">Trial, sales &amp; growth</t>
  </si>
  <si>
    <t xml:space="preserve">SCS-01 to SCS-04 plus the digital DPA gate — self-serve trial creation, inside sales, activation tracking and white-glove setup.</t>
  </si>
  <si>
    <t xml:space="preserve">New epic E23, 7 tasks</t>
  </si>
  <si>
    <t xml:space="preserve">SSO and hardware keys</t>
  </si>
  <si>
    <t xml:space="preserve">REMOVED</t>
  </si>
  <si>
    <t xml:space="preserve">NFR-06 states plainly: no SSO, no hardware keys. Staff sign in with WhatsApp OTP, a short PIN or an authenticator app. The v1 SSO/OIDC task has been deleted, not deferred.</t>
  </si>
  <si>
    <t xml:space="preserve">v1 task removed; 8 points returned</t>
  </si>
  <si>
    <t xml:space="preserve">Patient web portal (OTP)</t>
  </si>
  <si>
    <t xml:space="preserve">REPLACED</t>
  </si>
  <si>
    <t xml:space="preserve">v1 assumed an OTP web portal for patients. The wireframe replaces it entirely with the WhatsApp surface.</t>
  </si>
  <si>
    <t xml:space="preserve">v1 task replaced by epic E18</t>
  </si>
  <si>
    <t xml:space="preserve">Insurance claims scope narrowed</t>
  </si>
  <si>
    <t xml:space="preserve">Re-scoped</t>
  </si>
  <si>
    <t xml:space="preserve">SYS-10 makes full claims a Phase 3 certified-middleware integration and puts Ayushman out of scope. Only a simple claim export (BIL-11) and NPHIES eligibility-check-lite (RCP-07) remain in scope.</t>
  </si>
  <si>
    <t xml:space="preserve">v1 groundwork task re-scoped into two bounded tasks</t>
  </si>
  <si>
    <t xml:space="preserve">Payroll</t>
  </si>
  <si>
    <t xml:space="preserve">CAD-10 states there is deliberately no payroll engine — a CSV export only.</t>
  </si>
  <si>
    <t xml:space="preserve">Bounded to a 5-point export task</t>
  </si>
  <si>
    <t xml:space="preserve">Region residency hardened</t>
  </si>
  <si>
    <t xml:space="preserve">Region is now locked irreversibly at provisioning with region-scoped KMS keys and no cross-region replication (SYS-14 / NFR-04), rather than routing alone.</t>
  </si>
  <si>
    <t xml:space="preserve">Isolation and KMS tasks strengthened; new security controls</t>
  </si>
  <si>
    <t xml:space="preserve">Penetration testing split by region</t>
  </si>
  <si>
    <t xml:space="preserve">Changed</t>
  </si>
  <si>
    <t xml:space="preserve">NFR-09 requires an annual CERT-In-empanelled VAPT for India specifically, plus an annual drill with tenants. KSA needs its own independent test.</t>
  </si>
  <si>
    <t xml:space="preserve">One v1 pentest task became two</t>
  </si>
  <si>
    <t xml:space="preserve">Waiting-room display hardened</t>
  </si>
  <si>
    <t xml:space="preserve">RCP-14 adds liveness: paired, stale and connection-lost states re-checked every three seconds, and a TV scale that is explicitly not a breakpoint.</t>
  </si>
  <si>
    <t xml:space="preserve">One v1 task became three</t>
  </si>
  <si>
    <t xml:space="preserve">Consent moved into the data path</t>
  </si>
  <si>
    <t xml:space="preserve">NFR-08 requires consent to be checked at query level, not in the UI. This is an architectural constraint, not a screen.</t>
  </si>
  <si>
    <t xml:space="preserve">New foundational task in E06</t>
  </si>
  <si>
    <t xml:space="preserve">SYS-03: routine sends defer around prayer windows, but operationally urgent broadcasts such as a doctor delay are not held.</t>
  </si>
  <si>
    <t xml:space="preserve">New tasks in E04, E10 and E17</t>
  </si>
  <si>
    <t xml:space="preserve">Anatomy excluded from RTL mirroring</t>
  </si>
  <si>
    <t xml:space="preserve">The dental arch and dermatology body map keep fixed left-to-right order in Arabic because they represent the patient's actual left and right.</t>
  </si>
  <si>
    <t xml:space="preserve">Added to the RTL exception and test tasks</t>
  </si>
  <si>
    <t xml:space="preserve">Delivery phase column added</t>
  </si>
  <si>
    <t xml:space="preserve">The wireframe marks items MVP, Phase 2 or Phase 3. That marking is now a data column so Phase 2 and 3 can be cut or funded separately.</t>
  </si>
  <si>
    <t xml:space="preserve">293 MVP / 50 Phase 2 / 6 Phase 3</t>
  </si>
  <si>
    <t xml:space="preserve">Delivery model changed</t>
  </si>
  <si>
    <t xml:space="preserve">v1 assumed a single 8-9 person team over 18 sprints. v2 needs four parallel tracks ramping to five squads (roughly 30 people) across 23 sprints.</t>
  </si>
  <si>
    <t xml:space="preserve">New Tracks tab; squad ramp on the Sprints tab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</si>
</sst>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"/>
    <numFmt numFmtId="166" formatCode="0.0"/>
    <numFmt numFmtId="167" formatCode="0.0%"/>
    <numFmt numFmtId="168" formatCode="0%"/>
    <numFmt numFmtId="169" formatCode="#,##0"/>
    <numFmt numFmtId="170" formatCode="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A2E33"/>
      <name val="Arial"/>
      <family val="0"/>
      <charset val="1"/>
    </font>
    <font>
      <i val="true"/>
      <sz val="11"/>
      <color rgb="FF4B565E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0A2E33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10"/>
      <color rgb="FF4B565E"/>
      <name val="Arial"/>
      <family val="0"/>
      <charset val="1"/>
    </font>
    <font>
      <i val="true"/>
      <sz val="10"/>
      <color rgb="FFC00000"/>
      <name val="Arial"/>
      <family val="0"/>
      <charset val="1"/>
    </font>
    <font>
      <sz val="9"/>
      <name val="Arial"/>
      <family val="0"/>
      <charset val="1"/>
    </font>
    <font>
      <b val="true"/>
      <sz val="12"/>
      <color rgb="FFC0000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0A2E33"/>
        <bgColor rgb="FF003300"/>
      </patternFill>
    </fill>
    <fill>
      <patternFill patternType="solid">
        <fgColor rgb="FFFFF2CC"/>
        <bgColor rgb="FFEFEFEF"/>
      </patternFill>
    </fill>
    <fill>
      <patternFill patternType="solid">
        <fgColor rgb="FFF2F7F8"/>
        <bgColor rgb="FFEFEFEF"/>
      </patternFill>
    </fill>
    <fill>
      <patternFill patternType="solid">
        <fgColor rgb="FFDCEEF0"/>
        <bgColor rgb="FFD6F5E3"/>
      </patternFill>
    </fill>
    <fill>
      <patternFill patternType="solid">
        <fgColor rgb="FFD6F5E3"/>
        <bgColor rgb="FFDCEEF0"/>
      </patternFill>
    </fill>
    <fill>
      <patternFill patternType="solid">
        <fgColor rgb="FFEFEFEF"/>
        <bgColor rgb="FFF2F7F8"/>
      </patternFill>
    </fill>
    <fill>
      <patternFill patternType="solid">
        <fgColor rgb="FFFBD5D8"/>
        <bgColor rgb="FFEADCF8"/>
      </patternFill>
    </fill>
    <fill>
      <patternFill patternType="solid">
        <fgColor rgb="FFEADCF8"/>
        <bgColor rgb="FFFBD5D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3D6"/>
      </left>
      <right style="thin">
        <color rgb="FFC9D3D6"/>
      </right>
      <top style="thin">
        <color rgb="FFC9D3D6"/>
      </top>
      <bottom style="thin">
        <color rgb="FFC9D3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0A2E33"/>
          <bgColor rgb="FF000000"/>
        </patternFill>
      </fill>
    </dxf>
    <dxf>
      <fill>
        <patternFill patternType="solid">
          <fgColor rgb="FFF2F7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EADCF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6F5E3"/>
        </patternFill>
      </fill>
    </dxf>
    <dxf>
      <fill>
        <patternFill>
          <bgColor rgb="FFFBD5D8"/>
        </patternFill>
      </fill>
    </dxf>
    <dxf>
      <font>
        <name val="Arial"/>
        <charset val="1"/>
        <family val="0"/>
        <b val="1"/>
        <color rgb="FFC00000"/>
        <sz val="10"/>
      </font>
    </dxf>
    <dxf>
      <fill>
        <patternFill>
          <bgColor rgb="FFEADCF8"/>
        </patternFill>
      </fill>
    </dxf>
    <dxf>
      <fill>
        <patternFill>
          <bgColor rgb="FFFFF2CC"/>
        </patternFill>
      </fill>
    </dxf>
    <dxf>
      <fill>
        <patternFill patternType="solid">
          <fgColor rgb="FFD6F5E3"/>
          <bgColor rgb="FF000000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BD5D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ADCF8"/>
      <rgbColor rgb="FF808080"/>
      <rgbColor rgb="FF9999FF"/>
      <rgbColor rgb="FF993366"/>
      <rgbColor rgb="FFFFF2CC"/>
      <rgbColor rgb="FFDCEEF0"/>
      <rgbColor rgb="FF660066"/>
      <rgbColor rgb="FFFF8080"/>
      <rgbColor rgb="FF0066CC"/>
      <rgbColor rgb="FFC9D3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8"/>
      <rgbColor rgb="FFD6F5E3"/>
      <rgbColor rgb="FFEFEFEF"/>
      <rgbColor rgb="FF99CCFF"/>
      <rgbColor rgb="FFFF99CC"/>
      <rgbColor rgb="FFCC99FF"/>
      <rgbColor rgb="FFFBD5D8"/>
      <rgbColor rgb="FF3366FF"/>
      <rgbColor rgb="FF33CCCC"/>
      <rgbColor rgb="FF99CC00"/>
      <rgbColor rgb="FFFFCC00"/>
      <rgbColor rgb="FFFF9900"/>
      <rgbColor rgb="FFFF6600"/>
      <rgbColor rgb="FF4B565E"/>
      <rgbColor rgb="FF969696"/>
      <rgbColor rgb="FF0A2E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66"/>
    <col collapsed="false" customWidth="true" hidden="false" outlineLevel="0" max="3" min="3" style="0" width="62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3" t="s">
        <v>4</v>
      </c>
      <c r="B5" s="4" t="s">
        <v>5</v>
      </c>
    </row>
    <row r="6" customFormat="false" ht="15" hidden="false" customHeight="false" outlineLevel="0" collapsed="false">
      <c r="A6" s="3" t="s">
        <v>6</v>
      </c>
      <c r="B6" s="4" t="s">
        <v>7</v>
      </c>
    </row>
    <row r="7" customFormat="false" ht="15" hidden="false" customHeight="false" outlineLevel="0" collapsed="false">
      <c r="A7" s="3" t="s">
        <v>8</v>
      </c>
      <c r="B7" s="4" t="s">
        <v>9</v>
      </c>
    </row>
    <row r="9" customFormat="false" ht="15" hidden="false" customHeight="false" outlineLevel="0" collapsed="false">
      <c r="A9" s="5" t="s">
        <v>10</v>
      </c>
    </row>
    <row r="10" customFormat="false" ht="15" hidden="false" customHeight="false" outlineLevel="0" collapsed="false">
      <c r="A10" s="4" t="s">
        <v>11</v>
      </c>
    </row>
    <row r="11" customFormat="false" ht="15" hidden="false" customHeight="false" outlineLevel="0" collapsed="false">
      <c r="A11" s="4" t="s">
        <v>12</v>
      </c>
    </row>
    <row r="12" customFormat="false" ht="15" hidden="false" customHeight="false" outlineLevel="0" collapsed="false">
      <c r="A12" s="4" t="s">
        <v>13</v>
      </c>
    </row>
    <row r="13" customFormat="false" ht="15" hidden="false" customHeight="false" outlineLevel="0" collapsed="false">
      <c r="A13" s="4" t="s">
        <v>14</v>
      </c>
    </row>
    <row r="14" customFormat="false" ht="15" hidden="false" customHeight="false" outlineLevel="0" collapsed="false">
      <c r="A14" s="4" t="s">
        <v>15</v>
      </c>
    </row>
    <row r="15" customFormat="false" ht="15" hidden="false" customHeight="false" outlineLevel="0" collapsed="false">
      <c r="A15" s="4" t="s">
        <v>16</v>
      </c>
    </row>
    <row r="16" customFormat="false" ht="15" hidden="false" customHeight="false" outlineLevel="0" collapsed="false">
      <c r="A16" s="4" t="s">
        <v>17</v>
      </c>
    </row>
    <row r="18" customFormat="false" ht="15" hidden="false" customHeight="false" outlineLevel="0" collapsed="false">
      <c r="A18" s="6" t="s">
        <v>18</v>
      </c>
    </row>
    <row r="19" customFormat="false" ht="15" hidden="false" customHeight="false" outlineLevel="0" collapsed="false">
      <c r="A19" s="7" t="s">
        <v>19</v>
      </c>
      <c r="B19" s="4" t="s">
        <v>20</v>
      </c>
    </row>
    <row r="20" customFormat="false" ht="15" hidden="false" customHeight="false" outlineLevel="0" collapsed="false">
      <c r="A20" s="7" t="s">
        <v>21</v>
      </c>
      <c r="B20" s="4" t="s">
        <v>22</v>
      </c>
    </row>
    <row r="21" customFormat="false" ht="15" hidden="false" customHeight="false" outlineLevel="0" collapsed="false">
      <c r="A21" s="7" t="s">
        <v>23</v>
      </c>
      <c r="B21" s="4" t="s">
        <v>24</v>
      </c>
    </row>
    <row r="22" customFormat="false" ht="15" hidden="false" customHeight="false" outlineLevel="0" collapsed="false">
      <c r="A22" s="7" t="s">
        <v>25</v>
      </c>
      <c r="B22" s="4" t="s">
        <v>26</v>
      </c>
    </row>
    <row r="23" customFormat="false" ht="15" hidden="false" customHeight="false" outlineLevel="0" collapsed="false">
      <c r="A23" s="7" t="s">
        <v>27</v>
      </c>
      <c r="B23" s="4" t="s">
        <v>28</v>
      </c>
    </row>
    <row r="24" customFormat="false" ht="15" hidden="false" customHeight="false" outlineLevel="0" collapsed="false">
      <c r="A24" s="7" t="s">
        <v>29</v>
      </c>
      <c r="B24" s="4" t="s">
        <v>30</v>
      </c>
    </row>
    <row r="25" customFormat="false" ht="15" hidden="false" customHeight="false" outlineLevel="0" collapsed="false">
      <c r="A25" s="7" t="s">
        <v>31</v>
      </c>
      <c r="B25" s="4" t="s">
        <v>32</v>
      </c>
    </row>
    <row r="26" customFormat="false" ht="15" hidden="false" customHeight="false" outlineLevel="0" collapsed="false">
      <c r="A26" s="7" t="s">
        <v>33</v>
      </c>
      <c r="B26" s="4" t="s">
        <v>34</v>
      </c>
    </row>
    <row r="28" customFormat="false" ht="15" hidden="false" customHeight="false" outlineLevel="0" collapsed="false">
      <c r="A28" s="5" t="s">
        <v>35</v>
      </c>
    </row>
    <row r="29" customFormat="false" ht="15" hidden="false" customHeight="false" outlineLevel="0" collapsed="false">
      <c r="A29" s="8" t="s">
        <v>36</v>
      </c>
      <c r="B29" s="8" t="s">
        <v>37</v>
      </c>
      <c r="C29" s="8" t="s">
        <v>38</v>
      </c>
    </row>
    <row r="30" customFormat="false" ht="15" hidden="false" customHeight="false" outlineLevel="0" collapsed="false">
      <c r="A30" s="9" t="s">
        <v>39</v>
      </c>
      <c r="B30" s="10" t="n">
        <v>2</v>
      </c>
      <c r="C30" s="11" t="s">
        <v>40</v>
      </c>
    </row>
    <row r="31" customFormat="false" ht="23.85" hidden="false" customHeight="false" outlineLevel="0" collapsed="false">
      <c r="A31" s="9" t="s">
        <v>41</v>
      </c>
      <c r="B31" s="10" t="n">
        <v>40</v>
      </c>
      <c r="C31" s="11" t="s">
        <v>42</v>
      </c>
    </row>
    <row r="32" customFormat="false" ht="15" hidden="false" customHeight="false" outlineLevel="0" collapsed="false">
      <c r="A32" s="9" t="s">
        <v>43</v>
      </c>
      <c r="B32" s="12" t="n">
        <v>0.6</v>
      </c>
      <c r="C32" s="11" t="s">
        <v>44</v>
      </c>
    </row>
    <row r="33" customFormat="false" ht="15" hidden="false" customHeight="false" outlineLevel="0" collapsed="false">
      <c r="A33" s="9" t="s">
        <v>45</v>
      </c>
      <c r="B33" s="10" t="n">
        <v>0</v>
      </c>
      <c r="C33" s="11" t="s">
        <v>46</v>
      </c>
    </row>
    <row r="34" customFormat="false" ht="23.85" hidden="false" customHeight="false" outlineLevel="0" collapsed="false">
      <c r="A34" s="9" t="s">
        <v>47</v>
      </c>
      <c r="B34" s="10" t="n">
        <v>5</v>
      </c>
      <c r="C34" s="11" t="s">
        <v>48</v>
      </c>
    </row>
    <row r="37" customFormat="false" ht="15" hidden="false" customHeight="false" outlineLevel="0" collapsed="false">
      <c r="A37" s="5" t="s">
        <v>49</v>
      </c>
    </row>
    <row r="38" customFormat="false" ht="15" hidden="false" customHeight="false" outlineLevel="0" collapsed="false">
      <c r="A38" s="8" t="s">
        <v>50</v>
      </c>
      <c r="B38" s="8" t="s">
        <v>51</v>
      </c>
    </row>
    <row r="39" customFormat="false" ht="23.85" hidden="false" customHeight="false" outlineLevel="0" collapsed="false">
      <c r="A39" s="13" t="s">
        <v>52</v>
      </c>
      <c r="B39" s="11" t="s">
        <v>53</v>
      </c>
    </row>
    <row r="40" customFormat="false" ht="23.85" hidden="false" customHeight="false" outlineLevel="0" collapsed="false">
      <c r="A40" s="13" t="s">
        <v>54</v>
      </c>
      <c r="B40" s="11" t="s">
        <v>55</v>
      </c>
    </row>
    <row r="41" customFormat="false" ht="15" hidden="false" customHeight="false" outlineLevel="0" collapsed="false">
      <c r="A41" s="13" t="s">
        <v>56</v>
      </c>
      <c r="B41" s="11" t="s">
        <v>57</v>
      </c>
    </row>
    <row r="42" customFormat="false" ht="15" hidden="false" customHeight="false" outlineLevel="0" collapsed="false">
      <c r="A42" s="13" t="s">
        <v>58</v>
      </c>
      <c r="B42" s="11" t="s">
        <v>59</v>
      </c>
    </row>
    <row r="43" customFormat="false" ht="15" hidden="false" customHeight="false" outlineLevel="0" collapsed="false">
      <c r="A43" s="13" t="s">
        <v>60</v>
      </c>
      <c r="B43" s="11" t="s">
        <v>61</v>
      </c>
    </row>
    <row r="44" customFormat="false" ht="23.85" hidden="false" customHeight="false" outlineLevel="0" collapsed="false">
      <c r="A44" s="13" t="s">
        <v>62</v>
      </c>
      <c r="B44" s="11" t="s">
        <v>63</v>
      </c>
    </row>
    <row r="45" customFormat="false" ht="15" hidden="false" customHeight="false" outlineLevel="0" collapsed="false">
      <c r="A45" s="13" t="s">
        <v>64</v>
      </c>
      <c r="B45" s="11" t="s">
        <v>65</v>
      </c>
    </row>
    <row r="46" customFormat="false" ht="23.85" hidden="false" customHeight="false" outlineLevel="0" collapsed="false">
      <c r="A46" s="13" t="s">
        <v>66</v>
      </c>
      <c r="B46" s="11" t="s">
        <v>67</v>
      </c>
    </row>
    <row r="47" customFormat="false" ht="15" hidden="false" customHeight="false" outlineLevel="0" collapsed="false">
      <c r="A47" s="13" t="s">
        <v>68</v>
      </c>
      <c r="B47" s="11" t="s">
        <v>69</v>
      </c>
    </row>
    <row r="48" customFormat="false" ht="15" hidden="false" customHeight="false" outlineLevel="0" collapsed="false">
      <c r="A48" s="13" t="s">
        <v>70</v>
      </c>
      <c r="B48" s="11" t="s">
        <v>71</v>
      </c>
    </row>
    <row r="50" customFormat="false" ht="15" hidden="false" customHeight="false" outlineLevel="0" collapsed="false">
      <c r="A50" s="14" t="s">
        <v>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15"/>
    <col collapsed="false" customWidth="true" hidden="false" outlineLevel="0" max="4" min="4" style="0" width="40"/>
    <col collapsed="false" customWidth="true" hidden="false" outlineLevel="0" max="5" min="5" style="0" width="54"/>
    <col collapsed="false" customWidth="true" hidden="false" outlineLevel="0" max="6" min="6" style="0" width="20"/>
    <col collapsed="false" customWidth="true" hidden="false" outlineLevel="0" max="7" min="7" style="0" width="17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0" min="10" style="0" width="10"/>
    <col collapsed="false" customWidth="true" hidden="false" outlineLevel="0" max="11" min="11" style="0" width="13"/>
    <col collapsed="false" customWidth="true" hidden="false" outlineLevel="0" max="13" min="12" style="0" width="8"/>
    <col collapsed="false" customWidth="true" hidden="false" outlineLevel="0" max="14" min="14" style="0" width="20"/>
    <col collapsed="false" customWidth="true" hidden="false" outlineLevel="0" max="15" min="15" style="0" width="11"/>
    <col collapsed="false" customWidth="true" hidden="false" outlineLevel="0" max="16" min="16" style="0" width="24"/>
    <col collapsed="false" customWidth="true" hidden="false" outlineLevel="0" max="17" min="17" style="0" width="46"/>
    <col collapsed="false" customWidth="true" hidden="false" outlineLevel="0" max="18" min="18" style="0" width="13"/>
    <col collapsed="false" customWidth="true" hidden="false" outlineLevel="0" max="19" min="19" style="0" width="15"/>
  </cols>
  <sheetData>
    <row r="1" customFormat="false" ht="35.05" hidden="false" customHeight="false" outlineLevel="0" collapsed="false">
      <c r="A1" s="8" t="s">
        <v>73</v>
      </c>
      <c r="B1" s="8" t="s">
        <v>74</v>
      </c>
      <c r="C1" s="8" t="s">
        <v>75</v>
      </c>
      <c r="D1" s="8" t="s">
        <v>76</v>
      </c>
      <c r="E1" s="8" t="s">
        <v>77</v>
      </c>
      <c r="F1" s="8" t="s">
        <v>78</v>
      </c>
      <c r="G1" s="8" t="s">
        <v>79</v>
      </c>
      <c r="H1" s="8" t="s">
        <v>80</v>
      </c>
      <c r="I1" s="8" t="s">
        <v>81</v>
      </c>
      <c r="J1" s="8" t="s">
        <v>82</v>
      </c>
      <c r="K1" s="8" t="s">
        <v>83</v>
      </c>
      <c r="L1" s="8" t="s">
        <v>84</v>
      </c>
      <c r="M1" s="8" t="s">
        <v>85</v>
      </c>
      <c r="N1" s="8" t="s">
        <v>86</v>
      </c>
      <c r="O1" s="8" t="s">
        <v>87</v>
      </c>
      <c r="P1" s="8" t="s">
        <v>88</v>
      </c>
      <c r="Q1" s="8" t="s">
        <v>89</v>
      </c>
      <c r="R1" s="8" t="s">
        <v>90</v>
      </c>
      <c r="S1" s="8" t="s">
        <v>91</v>
      </c>
    </row>
    <row r="2" customFormat="false" ht="35.05" hidden="false" customHeight="false" outlineLevel="0" collapsed="false">
      <c r="A2" s="11" t="s">
        <v>92</v>
      </c>
      <c r="B2" s="11" t="s">
        <v>93</v>
      </c>
      <c r="C2" s="11" t="s">
        <v>94</v>
      </c>
      <c r="D2" s="11" t="s">
        <v>95</v>
      </c>
      <c r="E2" s="11" t="s">
        <v>96</v>
      </c>
      <c r="F2" s="11" t="s">
        <v>97</v>
      </c>
      <c r="G2" s="11" t="s">
        <v>98</v>
      </c>
      <c r="H2" s="11" t="s">
        <v>99</v>
      </c>
      <c r="I2" s="11" t="s">
        <v>94</v>
      </c>
      <c r="J2" s="15" t="s">
        <v>100</v>
      </c>
      <c r="K2" s="15" t="s">
        <v>101</v>
      </c>
      <c r="L2" s="15" t="n">
        <v>8</v>
      </c>
      <c r="M2" s="15" t="n">
        <v>1</v>
      </c>
      <c r="N2" s="11" t="str">
        <f aca="false">IF(M2&lt;=4,"R1 Foundation",IF(M2&lt;=8,"R2 Core Clinic",IF(M2&lt;=13,"R3 Revenue &amp; Messaging",IF(M2&lt;=18,"R4 Patient &amp; Platform",IF(M2&lt;=20,"R5 Harden","R6 Launch")))))</f>
        <v>R1 Foundation</v>
      </c>
      <c r="O2" s="16" t="n">
        <f aca="false">L2*README!$B$32</f>
        <v>4.8</v>
      </c>
      <c r="P2" s="11"/>
      <c r="Q2" s="11" t="s">
        <v>102</v>
      </c>
      <c r="R2" s="11" t="s">
        <v>103</v>
      </c>
      <c r="S2" s="11"/>
    </row>
    <row r="3" customFormat="false" ht="35.05" hidden="false" customHeight="false" outlineLevel="0" collapsed="false">
      <c r="A3" s="17" t="s">
        <v>104</v>
      </c>
      <c r="B3" s="17" t="s">
        <v>93</v>
      </c>
      <c r="C3" s="17" t="s">
        <v>94</v>
      </c>
      <c r="D3" s="17" t="s">
        <v>105</v>
      </c>
      <c r="E3" s="17" t="s">
        <v>106</v>
      </c>
      <c r="F3" s="17" t="s">
        <v>97</v>
      </c>
      <c r="G3" s="17" t="s">
        <v>107</v>
      </c>
      <c r="H3" s="17" t="s">
        <v>99</v>
      </c>
      <c r="I3" s="17" t="s">
        <v>94</v>
      </c>
      <c r="J3" s="18" t="s">
        <v>100</v>
      </c>
      <c r="K3" s="18" t="s">
        <v>101</v>
      </c>
      <c r="L3" s="18" t="n">
        <v>8</v>
      </c>
      <c r="M3" s="18" t="n">
        <v>1</v>
      </c>
      <c r="N3" s="17" t="str">
        <f aca="false">IF(M3&lt;=4,"R1 Foundation",IF(M3&lt;=8,"R2 Core Clinic",IF(M3&lt;=13,"R3 Revenue &amp; Messaging",IF(M3&lt;=18,"R4 Patient &amp; Platform",IF(M3&lt;=20,"R5 Harden","R6 Launch")))))</f>
        <v>R1 Foundation</v>
      </c>
      <c r="O3" s="19" t="n">
        <f aca="false">L3*README!$B$32</f>
        <v>4.8</v>
      </c>
      <c r="P3" s="17" t="s">
        <v>92</v>
      </c>
      <c r="Q3" s="17" t="s">
        <v>108</v>
      </c>
      <c r="R3" s="17" t="s">
        <v>103</v>
      </c>
      <c r="S3" s="17"/>
    </row>
    <row r="4" customFormat="false" ht="35.05" hidden="false" customHeight="false" outlineLevel="0" collapsed="false">
      <c r="A4" s="11" t="s">
        <v>109</v>
      </c>
      <c r="B4" s="11" t="s">
        <v>93</v>
      </c>
      <c r="C4" s="11" t="s">
        <v>110</v>
      </c>
      <c r="D4" s="11" t="s">
        <v>111</v>
      </c>
      <c r="E4" s="11" t="s">
        <v>112</v>
      </c>
      <c r="F4" s="11" t="s">
        <v>113</v>
      </c>
      <c r="G4" s="11" t="s">
        <v>98</v>
      </c>
      <c r="H4" s="11" t="s">
        <v>99</v>
      </c>
      <c r="I4" s="11" t="s">
        <v>114</v>
      </c>
      <c r="J4" s="15" t="s">
        <v>100</v>
      </c>
      <c r="K4" s="15" t="s">
        <v>101</v>
      </c>
      <c r="L4" s="15" t="n">
        <v>13</v>
      </c>
      <c r="M4" s="15" t="n">
        <v>1</v>
      </c>
      <c r="N4" s="11" t="str">
        <f aca="false">IF(M4&lt;=4,"R1 Foundation",IF(M4&lt;=8,"R2 Core Clinic",IF(M4&lt;=13,"R3 Revenue &amp; Messaging",IF(M4&lt;=18,"R4 Patient &amp; Platform",IF(M4&lt;=20,"R5 Harden","R6 Launch")))))</f>
        <v>R1 Foundation</v>
      </c>
      <c r="O4" s="16" t="n">
        <f aca="false">L4*README!$B$32</f>
        <v>7.8</v>
      </c>
      <c r="P4" s="11" t="s">
        <v>92</v>
      </c>
      <c r="Q4" s="11" t="s">
        <v>115</v>
      </c>
      <c r="R4" s="11" t="s">
        <v>103</v>
      </c>
      <c r="S4" s="11"/>
    </row>
    <row r="5" customFormat="false" ht="23.85" hidden="false" customHeight="false" outlineLevel="0" collapsed="false">
      <c r="A5" s="17" t="s">
        <v>116</v>
      </c>
      <c r="B5" s="17" t="s">
        <v>93</v>
      </c>
      <c r="C5" s="17" t="s">
        <v>110</v>
      </c>
      <c r="D5" s="17" t="s">
        <v>117</v>
      </c>
      <c r="E5" s="17" t="s">
        <v>118</v>
      </c>
      <c r="F5" s="17"/>
      <c r="G5" s="17" t="s">
        <v>98</v>
      </c>
      <c r="H5" s="17" t="s">
        <v>99</v>
      </c>
      <c r="I5" s="17" t="s">
        <v>114</v>
      </c>
      <c r="J5" s="18" t="s">
        <v>100</v>
      </c>
      <c r="K5" s="18" t="s">
        <v>101</v>
      </c>
      <c r="L5" s="18" t="n">
        <v>3</v>
      </c>
      <c r="M5" s="18" t="n">
        <v>2</v>
      </c>
      <c r="N5" s="17" t="str">
        <f aca="false">IF(M5&lt;=4,"R1 Foundation",IF(M5&lt;=8,"R2 Core Clinic",IF(M5&lt;=13,"R3 Revenue &amp; Messaging",IF(M5&lt;=18,"R4 Patient &amp; Platform",IF(M5&lt;=20,"R5 Harden","R6 Launch")))))</f>
        <v>R1 Foundation</v>
      </c>
      <c r="O5" s="19" t="n">
        <f aca="false">L5*README!$B$32</f>
        <v>1.8</v>
      </c>
      <c r="P5" s="17" t="s">
        <v>109</v>
      </c>
      <c r="Q5" s="17" t="s">
        <v>119</v>
      </c>
      <c r="R5" s="17" t="s">
        <v>103</v>
      </c>
      <c r="S5" s="17"/>
    </row>
    <row r="6" customFormat="false" ht="23.85" hidden="false" customHeight="false" outlineLevel="0" collapsed="false">
      <c r="A6" s="11" t="s">
        <v>120</v>
      </c>
      <c r="B6" s="11" t="s">
        <v>93</v>
      </c>
      <c r="C6" s="11" t="s">
        <v>121</v>
      </c>
      <c r="D6" s="11" t="s">
        <v>122</v>
      </c>
      <c r="E6" s="11" t="s">
        <v>123</v>
      </c>
      <c r="F6" s="11" t="s">
        <v>124</v>
      </c>
      <c r="G6" s="11" t="s">
        <v>98</v>
      </c>
      <c r="H6" s="11" t="s">
        <v>99</v>
      </c>
      <c r="I6" s="11" t="s">
        <v>114</v>
      </c>
      <c r="J6" s="15" t="s">
        <v>100</v>
      </c>
      <c r="K6" s="15" t="s">
        <v>101</v>
      </c>
      <c r="L6" s="15" t="n">
        <v>5</v>
      </c>
      <c r="M6" s="15" t="n">
        <v>2</v>
      </c>
      <c r="N6" s="11" t="str">
        <f aca="false">IF(M6&lt;=4,"R1 Foundation",IF(M6&lt;=8,"R2 Core Clinic",IF(M6&lt;=13,"R3 Revenue &amp; Messaging",IF(M6&lt;=18,"R4 Patient &amp; Platform",IF(M6&lt;=20,"R5 Harden","R6 Launch")))))</f>
        <v>R1 Foundation</v>
      </c>
      <c r="O6" s="16" t="n">
        <f aca="false">L6*README!$B$32</f>
        <v>3</v>
      </c>
      <c r="P6" s="11" t="s">
        <v>92</v>
      </c>
      <c r="Q6" s="11" t="s">
        <v>125</v>
      </c>
      <c r="R6" s="11" t="s">
        <v>103</v>
      </c>
      <c r="S6" s="11"/>
    </row>
    <row r="7" customFormat="false" ht="23.85" hidden="false" customHeight="false" outlineLevel="0" collapsed="false">
      <c r="A7" s="17" t="s">
        <v>126</v>
      </c>
      <c r="B7" s="17" t="s">
        <v>93</v>
      </c>
      <c r="C7" s="17" t="s">
        <v>121</v>
      </c>
      <c r="D7" s="17" t="s">
        <v>127</v>
      </c>
      <c r="E7" s="17" t="s">
        <v>128</v>
      </c>
      <c r="F7" s="17" t="s">
        <v>129</v>
      </c>
      <c r="G7" s="17" t="s">
        <v>98</v>
      </c>
      <c r="H7" s="17" t="s">
        <v>99</v>
      </c>
      <c r="I7" s="17" t="s">
        <v>114</v>
      </c>
      <c r="J7" s="18" t="s">
        <v>130</v>
      </c>
      <c r="K7" s="18" t="s">
        <v>101</v>
      </c>
      <c r="L7" s="18" t="n">
        <v>5</v>
      </c>
      <c r="M7" s="18" t="n">
        <v>3</v>
      </c>
      <c r="N7" s="17" t="str">
        <f aca="false">IF(M7&lt;=4,"R1 Foundation",IF(M7&lt;=8,"R2 Core Clinic",IF(M7&lt;=13,"R3 Revenue &amp; Messaging",IF(M7&lt;=18,"R4 Patient &amp; Platform",IF(M7&lt;=20,"R5 Harden","R6 Launch")))))</f>
        <v>R1 Foundation</v>
      </c>
      <c r="O7" s="19" t="n">
        <f aca="false">L7*README!$B$32</f>
        <v>3</v>
      </c>
      <c r="P7" s="17" t="s">
        <v>120</v>
      </c>
      <c r="Q7" s="17" t="s">
        <v>131</v>
      </c>
      <c r="R7" s="17" t="s">
        <v>103</v>
      </c>
      <c r="S7" s="17"/>
    </row>
    <row r="8" customFormat="false" ht="23.85" hidden="false" customHeight="false" outlineLevel="0" collapsed="false">
      <c r="A8" s="11" t="s">
        <v>132</v>
      </c>
      <c r="B8" s="11" t="s">
        <v>93</v>
      </c>
      <c r="C8" s="11" t="s">
        <v>107</v>
      </c>
      <c r="D8" s="11" t="s">
        <v>133</v>
      </c>
      <c r="E8" s="11" t="s">
        <v>134</v>
      </c>
      <c r="F8" s="11" t="s">
        <v>135</v>
      </c>
      <c r="G8" s="11" t="s">
        <v>98</v>
      </c>
      <c r="H8" s="11" t="s">
        <v>99</v>
      </c>
      <c r="I8" s="11" t="s">
        <v>114</v>
      </c>
      <c r="J8" s="15" t="s">
        <v>100</v>
      </c>
      <c r="K8" s="15" t="s">
        <v>101</v>
      </c>
      <c r="L8" s="15" t="n">
        <v>8</v>
      </c>
      <c r="M8" s="15" t="n">
        <v>3</v>
      </c>
      <c r="N8" s="11" t="str">
        <f aca="false">IF(M8&lt;=4,"R1 Foundation",IF(M8&lt;=8,"R2 Core Clinic",IF(M8&lt;=13,"R3 Revenue &amp; Messaging",IF(M8&lt;=18,"R4 Patient &amp; Platform",IF(M8&lt;=20,"R5 Harden","R6 Launch")))))</f>
        <v>R1 Foundation</v>
      </c>
      <c r="O8" s="16" t="n">
        <f aca="false">L8*README!$B$32</f>
        <v>4.8</v>
      </c>
      <c r="P8" s="11" t="s">
        <v>136</v>
      </c>
      <c r="Q8" s="11" t="s">
        <v>137</v>
      </c>
      <c r="R8" s="11" t="s">
        <v>103</v>
      </c>
      <c r="S8" s="11"/>
    </row>
    <row r="9" customFormat="false" ht="23.85" hidden="false" customHeight="false" outlineLevel="0" collapsed="false">
      <c r="A9" s="17" t="s">
        <v>138</v>
      </c>
      <c r="B9" s="17" t="s">
        <v>93</v>
      </c>
      <c r="C9" s="17" t="s">
        <v>107</v>
      </c>
      <c r="D9" s="17" t="s">
        <v>139</v>
      </c>
      <c r="E9" s="17" t="s">
        <v>140</v>
      </c>
      <c r="F9" s="17" t="s">
        <v>141</v>
      </c>
      <c r="G9" s="17" t="s">
        <v>142</v>
      </c>
      <c r="H9" s="17" t="s">
        <v>99</v>
      </c>
      <c r="I9" s="17" t="s">
        <v>114</v>
      </c>
      <c r="J9" s="18" t="s">
        <v>100</v>
      </c>
      <c r="K9" s="18" t="s">
        <v>101</v>
      </c>
      <c r="L9" s="18" t="n">
        <v>8</v>
      </c>
      <c r="M9" s="18" t="n">
        <v>3</v>
      </c>
      <c r="N9" s="17" t="str">
        <f aca="false">IF(M9&lt;=4,"R1 Foundation",IF(M9&lt;=8,"R2 Core Clinic",IF(M9&lt;=13,"R3 Revenue &amp; Messaging",IF(M9&lt;=18,"R4 Patient &amp; Platform",IF(M9&lt;=20,"R5 Harden","R6 Launch")))))</f>
        <v>R1 Foundation</v>
      </c>
      <c r="O9" s="19" t="n">
        <f aca="false">L9*README!$B$32</f>
        <v>4.8</v>
      </c>
      <c r="P9" s="17" t="s">
        <v>143</v>
      </c>
      <c r="Q9" s="17" t="s">
        <v>144</v>
      </c>
      <c r="R9" s="17" t="s">
        <v>103</v>
      </c>
      <c r="S9" s="17"/>
    </row>
    <row r="10" customFormat="false" ht="23.85" hidden="false" customHeight="false" outlineLevel="0" collapsed="false">
      <c r="A10" s="11" t="s">
        <v>145</v>
      </c>
      <c r="B10" s="11" t="s">
        <v>93</v>
      </c>
      <c r="C10" s="11" t="s">
        <v>107</v>
      </c>
      <c r="D10" s="11" t="s">
        <v>146</v>
      </c>
      <c r="E10" s="11" t="s">
        <v>147</v>
      </c>
      <c r="F10" s="11" t="s">
        <v>148</v>
      </c>
      <c r="G10" s="11" t="s">
        <v>98</v>
      </c>
      <c r="H10" s="11" t="s">
        <v>99</v>
      </c>
      <c r="I10" s="11" t="s">
        <v>149</v>
      </c>
      <c r="J10" s="15" t="s">
        <v>100</v>
      </c>
      <c r="K10" s="15" t="s">
        <v>101</v>
      </c>
      <c r="L10" s="15" t="n">
        <v>5</v>
      </c>
      <c r="M10" s="15" t="n">
        <v>2</v>
      </c>
      <c r="N10" s="11" t="str">
        <f aca="false">IF(M10&lt;=4,"R1 Foundation",IF(M10&lt;=8,"R2 Core Clinic",IF(M10&lt;=13,"R3 Revenue &amp; Messaging",IF(M10&lt;=18,"R4 Patient &amp; Platform",IF(M10&lt;=20,"R5 Harden","R6 Launch")))))</f>
        <v>R1 Foundation</v>
      </c>
      <c r="O10" s="16" t="n">
        <f aca="false">L10*README!$B$32</f>
        <v>3</v>
      </c>
      <c r="P10" s="11" t="s">
        <v>150</v>
      </c>
      <c r="Q10" s="11" t="s">
        <v>151</v>
      </c>
      <c r="R10" s="11" t="s">
        <v>103</v>
      </c>
      <c r="S10" s="11"/>
    </row>
    <row r="11" customFormat="false" ht="35.05" hidden="false" customHeight="false" outlineLevel="0" collapsed="false">
      <c r="A11" s="17" t="s">
        <v>152</v>
      </c>
      <c r="B11" s="17" t="s">
        <v>93</v>
      </c>
      <c r="C11" s="17" t="s">
        <v>110</v>
      </c>
      <c r="D11" s="17" t="s">
        <v>153</v>
      </c>
      <c r="E11" s="17" t="s">
        <v>154</v>
      </c>
      <c r="F11" s="17" t="s">
        <v>155</v>
      </c>
      <c r="G11" s="17" t="s">
        <v>156</v>
      </c>
      <c r="H11" s="17" t="s">
        <v>99</v>
      </c>
      <c r="I11" s="17" t="s">
        <v>114</v>
      </c>
      <c r="J11" s="18" t="s">
        <v>100</v>
      </c>
      <c r="K11" s="18" t="s">
        <v>101</v>
      </c>
      <c r="L11" s="18" t="n">
        <v>8</v>
      </c>
      <c r="M11" s="18" t="n">
        <v>4</v>
      </c>
      <c r="N11" s="17" t="str">
        <f aca="false">IF(M11&lt;=4,"R1 Foundation",IF(M11&lt;=8,"R2 Core Clinic",IF(M11&lt;=13,"R3 Revenue &amp; Messaging",IF(M11&lt;=18,"R4 Patient &amp; Platform",IF(M11&lt;=20,"R5 Harden","R6 Launch")))))</f>
        <v>R1 Foundation</v>
      </c>
      <c r="O11" s="19" t="n">
        <f aca="false">L11*README!$B$32</f>
        <v>4.8</v>
      </c>
      <c r="P11" s="17" t="s">
        <v>109</v>
      </c>
      <c r="Q11" s="17" t="s">
        <v>157</v>
      </c>
      <c r="R11" s="17" t="s">
        <v>103</v>
      </c>
      <c r="S11" s="17"/>
    </row>
    <row r="12" customFormat="false" ht="23.85" hidden="false" customHeight="false" outlineLevel="0" collapsed="false">
      <c r="A12" s="11" t="s">
        <v>158</v>
      </c>
      <c r="B12" s="11" t="s">
        <v>93</v>
      </c>
      <c r="C12" s="11" t="s">
        <v>107</v>
      </c>
      <c r="D12" s="11" t="s">
        <v>159</v>
      </c>
      <c r="E12" s="11" t="s">
        <v>160</v>
      </c>
      <c r="F12" s="11" t="s">
        <v>161</v>
      </c>
      <c r="G12" s="11" t="s">
        <v>98</v>
      </c>
      <c r="H12" s="11" t="s">
        <v>99</v>
      </c>
      <c r="I12" s="11" t="s">
        <v>114</v>
      </c>
      <c r="J12" s="15" t="s">
        <v>100</v>
      </c>
      <c r="K12" s="15" t="s">
        <v>101</v>
      </c>
      <c r="L12" s="15" t="n">
        <v>3</v>
      </c>
      <c r="M12" s="15" t="n">
        <v>4</v>
      </c>
      <c r="N12" s="11" t="str">
        <f aca="false">IF(M12&lt;=4,"R1 Foundation",IF(M12&lt;=8,"R2 Core Clinic",IF(M12&lt;=13,"R3 Revenue &amp; Messaging",IF(M12&lt;=18,"R4 Patient &amp; Platform",IF(M12&lt;=20,"R5 Harden","R6 Launch")))))</f>
        <v>R1 Foundation</v>
      </c>
      <c r="O12" s="16" t="n">
        <f aca="false">L12*README!$B$32</f>
        <v>1.8</v>
      </c>
      <c r="P12" s="11" t="s">
        <v>109</v>
      </c>
      <c r="Q12" s="11" t="s">
        <v>162</v>
      </c>
      <c r="R12" s="11" t="s">
        <v>103</v>
      </c>
      <c r="S12" s="11"/>
    </row>
    <row r="13" customFormat="false" ht="23.85" hidden="false" customHeight="false" outlineLevel="0" collapsed="false">
      <c r="A13" s="17" t="s">
        <v>163</v>
      </c>
      <c r="B13" s="17" t="s">
        <v>164</v>
      </c>
      <c r="C13" s="17" t="s">
        <v>165</v>
      </c>
      <c r="D13" s="17" t="s">
        <v>166</v>
      </c>
      <c r="E13" s="17" t="s">
        <v>167</v>
      </c>
      <c r="F13" s="17"/>
      <c r="G13" s="17" t="s">
        <v>98</v>
      </c>
      <c r="H13" s="17" t="s">
        <v>99</v>
      </c>
      <c r="I13" s="17" t="s">
        <v>168</v>
      </c>
      <c r="J13" s="18" t="s">
        <v>100</v>
      </c>
      <c r="K13" s="18" t="s">
        <v>101</v>
      </c>
      <c r="L13" s="18" t="n">
        <v>5</v>
      </c>
      <c r="M13" s="18" t="n">
        <v>1</v>
      </c>
      <c r="N13" s="17" t="str">
        <f aca="false">IF(M13&lt;=4,"R1 Foundation",IF(M13&lt;=8,"R2 Core Clinic",IF(M13&lt;=13,"R3 Revenue &amp; Messaging",IF(M13&lt;=18,"R4 Patient &amp; Platform",IF(M13&lt;=20,"R5 Harden","R6 Launch")))))</f>
        <v>R1 Foundation</v>
      </c>
      <c r="O13" s="19" t="n">
        <f aca="false">L13*README!$B$32</f>
        <v>3</v>
      </c>
      <c r="P13" s="17"/>
      <c r="Q13" s="17" t="s">
        <v>169</v>
      </c>
      <c r="R13" s="17" t="s">
        <v>103</v>
      </c>
      <c r="S13" s="17"/>
    </row>
    <row r="14" customFormat="false" ht="23.85" hidden="false" customHeight="false" outlineLevel="0" collapsed="false">
      <c r="A14" s="11" t="s">
        <v>170</v>
      </c>
      <c r="B14" s="11" t="s">
        <v>164</v>
      </c>
      <c r="C14" s="11" t="s">
        <v>165</v>
      </c>
      <c r="D14" s="11" t="s">
        <v>171</v>
      </c>
      <c r="E14" s="11" t="s">
        <v>172</v>
      </c>
      <c r="F14" s="11"/>
      <c r="G14" s="11" t="s">
        <v>98</v>
      </c>
      <c r="H14" s="11" t="s">
        <v>99</v>
      </c>
      <c r="I14" s="11" t="s">
        <v>168</v>
      </c>
      <c r="J14" s="15" t="s">
        <v>100</v>
      </c>
      <c r="K14" s="15" t="s">
        <v>101</v>
      </c>
      <c r="L14" s="15" t="n">
        <v>8</v>
      </c>
      <c r="M14" s="15" t="n">
        <v>2</v>
      </c>
      <c r="N14" s="11" t="str">
        <f aca="false">IF(M14&lt;=4,"R1 Foundation",IF(M14&lt;=8,"R2 Core Clinic",IF(M14&lt;=13,"R3 Revenue &amp; Messaging",IF(M14&lt;=18,"R4 Patient &amp; Platform",IF(M14&lt;=20,"R5 Harden","R6 Launch")))))</f>
        <v>R1 Foundation</v>
      </c>
      <c r="O14" s="16" t="n">
        <f aca="false">L14*README!$B$32</f>
        <v>4.8</v>
      </c>
      <c r="P14" s="11" t="s">
        <v>163</v>
      </c>
      <c r="Q14" s="11" t="s">
        <v>173</v>
      </c>
      <c r="R14" s="11" t="s">
        <v>103</v>
      </c>
      <c r="S14" s="11"/>
    </row>
    <row r="15" customFormat="false" ht="23.85" hidden="false" customHeight="false" outlineLevel="0" collapsed="false">
      <c r="A15" s="17" t="s">
        <v>174</v>
      </c>
      <c r="B15" s="17" t="s">
        <v>164</v>
      </c>
      <c r="C15" s="17" t="s">
        <v>165</v>
      </c>
      <c r="D15" s="17" t="s">
        <v>175</v>
      </c>
      <c r="E15" s="17" t="s">
        <v>176</v>
      </c>
      <c r="F15" s="17"/>
      <c r="G15" s="17" t="s">
        <v>98</v>
      </c>
      <c r="H15" s="17" t="s">
        <v>99</v>
      </c>
      <c r="I15" s="17" t="s">
        <v>168</v>
      </c>
      <c r="J15" s="18" t="s">
        <v>100</v>
      </c>
      <c r="K15" s="18" t="s">
        <v>101</v>
      </c>
      <c r="L15" s="18" t="n">
        <v>8</v>
      </c>
      <c r="M15" s="18" t="n">
        <v>2</v>
      </c>
      <c r="N15" s="17" t="str">
        <f aca="false">IF(M15&lt;=4,"R1 Foundation",IF(M15&lt;=8,"R2 Core Clinic",IF(M15&lt;=13,"R3 Revenue &amp; Messaging",IF(M15&lt;=18,"R4 Patient &amp; Platform",IF(M15&lt;=20,"R5 Harden","R6 Launch")))))</f>
        <v>R1 Foundation</v>
      </c>
      <c r="O15" s="19" t="n">
        <f aca="false">L15*README!$B$32</f>
        <v>4.8</v>
      </c>
      <c r="P15" s="17" t="s">
        <v>163</v>
      </c>
      <c r="Q15" s="17" t="s">
        <v>177</v>
      </c>
      <c r="R15" s="17" t="s">
        <v>103</v>
      </c>
      <c r="S15" s="17"/>
    </row>
    <row r="16" customFormat="false" ht="23.85" hidden="false" customHeight="false" outlineLevel="0" collapsed="false">
      <c r="A16" s="11" t="s">
        <v>178</v>
      </c>
      <c r="B16" s="11" t="s">
        <v>164</v>
      </c>
      <c r="C16" s="11" t="s">
        <v>165</v>
      </c>
      <c r="D16" s="11" t="s">
        <v>179</v>
      </c>
      <c r="E16" s="11" t="s">
        <v>180</v>
      </c>
      <c r="F16" s="11"/>
      <c r="G16" s="11" t="s">
        <v>98</v>
      </c>
      <c r="H16" s="11" t="s">
        <v>99</v>
      </c>
      <c r="I16" s="11" t="s">
        <v>168</v>
      </c>
      <c r="J16" s="15" t="s">
        <v>100</v>
      </c>
      <c r="K16" s="15" t="s">
        <v>101</v>
      </c>
      <c r="L16" s="15" t="n">
        <v>5</v>
      </c>
      <c r="M16" s="15" t="n">
        <v>3</v>
      </c>
      <c r="N16" s="11" t="str">
        <f aca="false">IF(M16&lt;=4,"R1 Foundation",IF(M16&lt;=8,"R2 Core Clinic",IF(M16&lt;=13,"R3 Revenue &amp; Messaging",IF(M16&lt;=18,"R4 Patient &amp; Platform",IF(M16&lt;=20,"R5 Harden","R6 Launch")))))</f>
        <v>R1 Foundation</v>
      </c>
      <c r="O16" s="16" t="n">
        <f aca="false">L16*README!$B$32</f>
        <v>3</v>
      </c>
      <c r="P16" s="11" t="s">
        <v>163</v>
      </c>
      <c r="Q16" s="11" t="s">
        <v>181</v>
      </c>
      <c r="R16" s="11" t="s">
        <v>103</v>
      </c>
      <c r="S16" s="11"/>
    </row>
    <row r="17" customFormat="false" ht="23.85" hidden="false" customHeight="false" outlineLevel="0" collapsed="false">
      <c r="A17" s="17" t="s">
        <v>182</v>
      </c>
      <c r="B17" s="17" t="s">
        <v>164</v>
      </c>
      <c r="C17" s="17" t="s">
        <v>165</v>
      </c>
      <c r="D17" s="17" t="s">
        <v>183</v>
      </c>
      <c r="E17" s="17" t="s">
        <v>184</v>
      </c>
      <c r="F17" s="17"/>
      <c r="G17" s="17" t="s">
        <v>98</v>
      </c>
      <c r="H17" s="17" t="s">
        <v>99</v>
      </c>
      <c r="I17" s="17" t="s">
        <v>168</v>
      </c>
      <c r="J17" s="18" t="s">
        <v>100</v>
      </c>
      <c r="K17" s="18" t="s">
        <v>101</v>
      </c>
      <c r="L17" s="18" t="n">
        <v>3</v>
      </c>
      <c r="M17" s="18" t="n">
        <v>2</v>
      </c>
      <c r="N17" s="17" t="str">
        <f aca="false">IF(M17&lt;=4,"R1 Foundation",IF(M17&lt;=8,"R2 Core Clinic",IF(M17&lt;=13,"R3 Revenue &amp; Messaging",IF(M17&lt;=18,"R4 Patient &amp; Platform",IF(M17&lt;=20,"R5 Harden","R6 Launch")))))</f>
        <v>R1 Foundation</v>
      </c>
      <c r="O17" s="19" t="n">
        <f aca="false">L17*README!$B$32</f>
        <v>1.8</v>
      </c>
      <c r="P17" s="17" t="s">
        <v>163</v>
      </c>
      <c r="Q17" s="17" t="s">
        <v>185</v>
      </c>
      <c r="R17" s="17" t="s">
        <v>103</v>
      </c>
      <c r="S17" s="17"/>
    </row>
    <row r="18" customFormat="false" ht="23.85" hidden="false" customHeight="false" outlineLevel="0" collapsed="false">
      <c r="A18" s="11" t="s">
        <v>186</v>
      </c>
      <c r="B18" s="11" t="s">
        <v>164</v>
      </c>
      <c r="C18" s="11" t="s">
        <v>165</v>
      </c>
      <c r="D18" s="11" t="s">
        <v>187</v>
      </c>
      <c r="E18" s="11" t="s">
        <v>188</v>
      </c>
      <c r="F18" s="11" t="s">
        <v>189</v>
      </c>
      <c r="G18" s="11" t="s">
        <v>98</v>
      </c>
      <c r="H18" s="11" t="s">
        <v>99</v>
      </c>
      <c r="I18" s="11" t="s">
        <v>168</v>
      </c>
      <c r="J18" s="15" t="s">
        <v>100</v>
      </c>
      <c r="K18" s="15" t="s">
        <v>101</v>
      </c>
      <c r="L18" s="15" t="n">
        <v>8</v>
      </c>
      <c r="M18" s="15" t="n">
        <v>3</v>
      </c>
      <c r="N18" s="11" t="str">
        <f aca="false">IF(M18&lt;=4,"R1 Foundation",IF(M18&lt;=8,"R2 Core Clinic",IF(M18&lt;=13,"R3 Revenue &amp; Messaging",IF(M18&lt;=18,"R4 Patient &amp; Platform",IF(M18&lt;=20,"R5 Harden","R6 Launch")))))</f>
        <v>R1 Foundation</v>
      </c>
      <c r="O18" s="16" t="n">
        <f aca="false">L18*README!$B$32</f>
        <v>4.8</v>
      </c>
      <c r="P18" s="11" t="s">
        <v>190</v>
      </c>
      <c r="Q18" s="11" t="s">
        <v>191</v>
      </c>
      <c r="R18" s="11" t="s">
        <v>103</v>
      </c>
      <c r="S18" s="11"/>
    </row>
    <row r="19" customFormat="false" ht="35.05" hidden="false" customHeight="false" outlineLevel="0" collapsed="false">
      <c r="A19" s="17" t="s">
        <v>192</v>
      </c>
      <c r="B19" s="17" t="s">
        <v>164</v>
      </c>
      <c r="C19" s="17" t="s">
        <v>165</v>
      </c>
      <c r="D19" s="17" t="s">
        <v>193</v>
      </c>
      <c r="E19" s="17" t="s">
        <v>194</v>
      </c>
      <c r="F19" s="17" t="s">
        <v>195</v>
      </c>
      <c r="G19" s="17" t="s">
        <v>98</v>
      </c>
      <c r="H19" s="17" t="s">
        <v>99</v>
      </c>
      <c r="I19" s="17" t="s">
        <v>168</v>
      </c>
      <c r="J19" s="18" t="s">
        <v>100</v>
      </c>
      <c r="K19" s="18" t="s">
        <v>101</v>
      </c>
      <c r="L19" s="18" t="n">
        <v>8</v>
      </c>
      <c r="M19" s="18" t="n">
        <v>6</v>
      </c>
      <c r="N19" s="17" t="str">
        <f aca="false">IF(M19&lt;=4,"R1 Foundation",IF(M19&lt;=8,"R2 Core Clinic",IF(M19&lt;=13,"R3 Revenue &amp; Messaging",IF(M19&lt;=18,"R4 Patient &amp; Platform",IF(M19&lt;=20,"R5 Harden","R6 Launch")))))</f>
        <v>R2 Core Clinic</v>
      </c>
      <c r="O19" s="19" t="n">
        <f aca="false">L19*README!$B$32</f>
        <v>4.8</v>
      </c>
      <c r="P19" s="17" t="s">
        <v>196</v>
      </c>
      <c r="Q19" s="17" t="s">
        <v>197</v>
      </c>
      <c r="R19" s="17" t="s">
        <v>103</v>
      </c>
      <c r="S19" s="17"/>
    </row>
    <row r="20" customFormat="false" ht="23.85" hidden="false" customHeight="false" outlineLevel="0" collapsed="false">
      <c r="A20" s="11" t="s">
        <v>198</v>
      </c>
      <c r="B20" s="11" t="s">
        <v>164</v>
      </c>
      <c r="C20" s="11" t="s">
        <v>165</v>
      </c>
      <c r="D20" s="11" t="s">
        <v>199</v>
      </c>
      <c r="E20" s="11" t="s">
        <v>200</v>
      </c>
      <c r="F20" s="11"/>
      <c r="G20" s="11" t="s">
        <v>98</v>
      </c>
      <c r="H20" s="11" t="s">
        <v>99</v>
      </c>
      <c r="I20" s="11" t="s">
        <v>168</v>
      </c>
      <c r="J20" s="15" t="s">
        <v>130</v>
      </c>
      <c r="K20" s="15" t="s">
        <v>101</v>
      </c>
      <c r="L20" s="15" t="n">
        <v>5</v>
      </c>
      <c r="M20" s="15" t="n">
        <v>8</v>
      </c>
      <c r="N20" s="11" t="str">
        <f aca="false">IF(M20&lt;=4,"R1 Foundation",IF(M20&lt;=8,"R2 Core Clinic",IF(M20&lt;=13,"R3 Revenue &amp; Messaging",IF(M20&lt;=18,"R4 Patient &amp; Platform",IF(M20&lt;=20,"R5 Harden","R6 Launch")))))</f>
        <v>R2 Core Clinic</v>
      </c>
      <c r="O20" s="16" t="n">
        <f aca="false">L20*README!$B$32</f>
        <v>3</v>
      </c>
      <c r="P20" s="11" t="s">
        <v>186</v>
      </c>
      <c r="Q20" s="11" t="s">
        <v>201</v>
      </c>
      <c r="R20" s="11" t="s">
        <v>103</v>
      </c>
      <c r="S20" s="11"/>
    </row>
    <row r="21" customFormat="false" ht="23.85" hidden="false" customHeight="false" outlineLevel="0" collapsed="false">
      <c r="A21" s="17" t="s">
        <v>202</v>
      </c>
      <c r="B21" s="17" t="s">
        <v>164</v>
      </c>
      <c r="C21" s="17" t="s">
        <v>165</v>
      </c>
      <c r="D21" s="17" t="s">
        <v>203</v>
      </c>
      <c r="E21" s="17" t="s">
        <v>204</v>
      </c>
      <c r="F21" s="17" t="s">
        <v>205</v>
      </c>
      <c r="G21" s="17" t="s">
        <v>98</v>
      </c>
      <c r="H21" s="17" t="s">
        <v>99</v>
      </c>
      <c r="I21" s="17" t="s">
        <v>168</v>
      </c>
      <c r="J21" s="18" t="s">
        <v>100</v>
      </c>
      <c r="K21" s="18" t="s">
        <v>101</v>
      </c>
      <c r="L21" s="18" t="n">
        <v>5</v>
      </c>
      <c r="M21" s="18" t="n">
        <v>4</v>
      </c>
      <c r="N21" s="17" t="str">
        <f aca="false">IF(M21&lt;=4,"R1 Foundation",IF(M21&lt;=8,"R2 Core Clinic",IF(M21&lt;=13,"R3 Revenue &amp; Messaging",IF(M21&lt;=18,"R4 Patient &amp; Platform",IF(M21&lt;=20,"R5 Harden","R6 Launch")))))</f>
        <v>R1 Foundation</v>
      </c>
      <c r="O21" s="19" t="n">
        <f aca="false">L21*README!$B$32</f>
        <v>3</v>
      </c>
      <c r="P21" s="17" t="s">
        <v>174</v>
      </c>
      <c r="Q21" s="17" t="s">
        <v>206</v>
      </c>
      <c r="R21" s="17" t="s">
        <v>103</v>
      </c>
      <c r="S21" s="17"/>
    </row>
    <row r="22" customFormat="false" ht="23.85" hidden="false" customHeight="false" outlineLevel="0" collapsed="false">
      <c r="A22" s="11" t="s">
        <v>207</v>
      </c>
      <c r="B22" s="11" t="s">
        <v>164</v>
      </c>
      <c r="C22" s="11" t="s">
        <v>165</v>
      </c>
      <c r="D22" s="11" t="s">
        <v>208</v>
      </c>
      <c r="E22" s="11" t="s">
        <v>209</v>
      </c>
      <c r="F22" s="11"/>
      <c r="G22" s="11" t="s">
        <v>98</v>
      </c>
      <c r="H22" s="11" t="s">
        <v>99</v>
      </c>
      <c r="I22" s="11" t="s">
        <v>168</v>
      </c>
      <c r="J22" s="15" t="s">
        <v>210</v>
      </c>
      <c r="K22" s="15" t="s">
        <v>211</v>
      </c>
      <c r="L22" s="15" t="n">
        <v>5</v>
      </c>
      <c r="M22" s="15" t="n">
        <v>19</v>
      </c>
      <c r="N22" s="11" t="str">
        <f aca="false">IF(M22&lt;=4,"R1 Foundation",IF(M22&lt;=8,"R2 Core Clinic",IF(M22&lt;=13,"R3 Revenue &amp; Messaging",IF(M22&lt;=18,"R4 Patient &amp; Platform",IF(M22&lt;=20,"R5 Harden","R6 Launch")))))</f>
        <v>R5 Harden</v>
      </c>
      <c r="O22" s="16" t="n">
        <f aca="false">L22*README!$B$32</f>
        <v>3</v>
      </c>
      <c r="P22" s="11" t="s">
        <v>163</v>
      </c>
      <c r="Q22" s="11" t="s">
        <v>212</v>
      </c>
      <c r="R22" s="11" t="s">
        <v>103</v>
      </c>
      <c r="S22" s="11"/>
    </row>
    <row r="23" customFormat="false" ht="35.05" hidden="false" customHeight="false" outlineLevel="0" collapsed="false">
      <c r="A23" s="17" t="s">
        <v>213</v>
      </c>
      <c r="B23" s="17" t="s">
        <v>214</v>
      </c>
      <c r="C23" s="17" t="s">
        <v>215</v>
      </c>
      <c r="D23" s="17" t="s">
        <v>216</v>
      </c>
      <c r="E23" s="17" t="s">
        <v>217</v>
      </c>
      <c r="F23" s="17" t="s">
        <v>218</v>
      </c>
      <c r="G23" s="17" t="s">
        <v>98</v>
      </c>
      <c r="H23" s="17" t="s">
        <v>99</v>
      </c>
      <c r="I23" s="17" t="s">
        <v>168</v>
      </c>
      <c r="J23" s="18" t="s">
        <v>100</v>
      </c>
      <c r="K23" s="18" t="s">
        <v>101</v>
      </c>
      <c r="L23" s="18" t="n">
        <v>8</v>
      </c>
      <c r="M23" s="18" t="n">
        <v>5</v>
      </c>
      <c r="N23" s="17" t="str">
        <f aca="false">IF(M23&lt;=4,"R1 Foundation",IF(M23&lt;=8,"R2 Core Clinic",IF(M23&lt;=13,"R3 Revenue &amp; Messaging",IF(M23&lt;=18,"R4 Patient &amp; Platform",IF(M23&lt;=20,"R5 Harden","R6 Launch")))))</f>
        <v>R2 Core Clinic</v>
      </c>
      <c r="O23" s="19" t="n">
        <f aca="false">L23*README!$B$32</f>
        <v>4.8</v>
      </c>
      <c r="P23" s="17" t="s">
        <v>163</v>
      </c>
      <c r="Q23" s="17" t="s">
        <v>219</v>
      </c>
      <c r="R23" s="17" t="s">
        <v>103</v>
      </c>
      <c r="S23" s="17"/>
    </row>
    <row r="24" customFormat="false" ht="23.85" hidden="false" customHeight="false" outlineLevel="0" collapsed="false">
      <c r="A24" s="11" t="s">
        <v>220</v>
      </c>
      <c r="B24" s="11" t="s">
        <v>214</v>
      </c>
      <c r="C24" s="11" t="s">
        <v>215</v>
      </c>
      <c r="D24" s="11" t="s">
        <v>221</v>
      </c>
      <c r="E24" s="11" t="s">
        <v>222</v>
      </c>
      <c r="F24" s="11" t="s">
        <v>223</v>
      </c>
      <c r="G24" s="11" t="s">
        <v>98</v>
      </c>
      <c r="H24" s="11" t="s">
        <v>99</v>
      </c>
      <c r="I24" s="11" t="s">
        <v>168</v>
      </c>
      <c r="J24" s="15" t="s">
        <v>100</v>
      </c>
      <c r="K24" s="15" t="s">
        <v>101</v>
      </c>
      <c r="L24" s="15" t="n">
        <v>5</v>
      </c>
      <c r="M24" s="15" t="n">
        <v>5</v>
      </c>
      <c r="N24" s="11" t="str">
        <f aca="false">IF(M24&lt;=4,"R1 Foundation",IF(M24&lt;=8,"R2 Core Clinic",IF(M24&lt;=13,"R3 Revenue &amp; Messaging",IF(M24&lt;=18,"R4 Patient &amp; Platform",IF(M24&lt;=20,"R5 Harden","R6 Launch")))))</f>
        <v>R2 Core Clinic</v>
      </c>
      <c r="O24" s="16" t="n">
        <f aca="false">L24*README!$B$32</f>
        <v>3</v>
      </c>
      <c r="P24" s="11" t="s">
        <v>213</v>
      </c>
      <c r="Q24" s="11" t="s">
        <v>224</v>
      </c>
      <c r="R24" s="11" t="s">
        <v>103</v>
      </c>
      <c r="S24" s="11"/>
    </row>
    <row r="25" customFormat="false" ht="23.85" hidden="false" customHeight="false" outlineLevel="0" collapsed="false">
      <c r="A25" s="17" t="s">
        <v>225</v>
      </c>
      <c r="B25" s="17" t="s">
        <v>214</v>
      </c>
      <c r="C25" s="17" t="s">
        <v>215</v>
      </c>
      <c r="D25" s="17" t="s">
        <v>226</v>
      </c>
      <c r="E25" s="17" t="s">
        <v>227</v>
      </c>
      <c r="F25" s="17" t="s">
        <v>129</v>
      </c>
      <c r="G25" s="17" t="s">
        <v>98</v>
      </c>
      <c r="H25" s="17" t="s">
        <v>99</v>
      </c>
      <c r="I25" s="17" t="s">
        <v>168</v>
      </c>
      <c r="J25" s="18" t="s">
        <v>100</v>
      </c>
      <c r="K25" s="18" t="s">
        <v>101</v>
      </c>
      <c r="L25" s="18" t="n">
        <v>8</v>
      </c>
      <c r="M25" s="18" t="n">
        <v>6</v>
      </c>
      <c r="N25" s="17" t="str">
        <f aca="false">IF(M25&lt;=4,"R1 Foundation",IF(M25&lt;=8,"R2 Core Clinic",IF(M25&lt;=13,"R3 Revenue &amp; Messaging",IF(M25&lt;=18,"R4 Patient &amp; Platform",IF(M25&lt;=20,"R5 Harden","R6 Launch")))))</f>
        <v>R2 Core Clinic</v>
      </c>
      <c r="O25" s="19" t="n">
        <f aca="false">L25*README!$B$32</f>
        <v>4.8</v>
      </c>
      <c r="P25" s="17" t="s">
        <v>213</v>
      </c>
      <c r="Q25" s="17" t="s">
        <v>228</v>
      </c>
      <c r="R25" s="17" t="s">
        <v>103</v>
      </c>
      <c r="S25" s="17"/>
    </row>
    <row r="26" customFormat="false" ht="23.85" hidden="false" customHeight="false" outlineLevel="0" collapsed="false">
      <c r="A26" s="11" t="s">
        <v>229</v>
      </c>
      <c r="B26" s="11" t="s">
        <v>214</v>
      </c>
      <c r="C26" s="11" t="s">
        <v>215</v>
      </c>
      <c r="D26" s="11" t="s">
        <v>230</v>
      </c>
      <c r="E26" s="11" t="s">
        <v>231</v>
      </c>
      <c r="F26" s="11" t="s">
        <v>232</v>
      </c>
      <c r="G26" s="11" t="s">
        <v>233</v>
      </c>
      <c r="H26" s="11" t="s">
        <v>99</v>
      </c>
      <c r="I26" s="11" t="s">
        <v>168</v>
      </c>
      <c r="J26" s="15" t="s">
        <v>100</v>
      </c>
      <c r="K26" s="15" t="s">
        <v>101</v>
      </c>
      <c r="L26" s="15" t="n">
        <v>5</v>
      </c>
      <c r="M26" s="15" t="n">
        <v>6</v>
      </c>
      <c r="N26" s="11" t="str">
        <f aca="false">IF(M26&lt;=4,"R1 Foundation",IF(M26&lt;=8,"R2 Core Clinic",IF(M26&lt;=13,"R3 Revenue &amp; Messaging",IF(M26&lt;=18,"R4 Patient &amp; Platform",IF(M26&lt;=20,"R5 Harden","R6 Launch")))))</f>
        <v>R2 Core Clinic</v>
      </c>
      <c r="O26" s="16" t="n">
        <f aca="false">L26*README!$B$32</f>
        <v>3</v>
      </c>
      <c r="P26" s="11" t="s">
        <v>213</v>
      </c>
      <c r="Q26" s="11" t="s">
        <v>234</v>
      </c>
      <c r="R26" s="11" t="s">
        <v>103</v>
      </c>
      <c r="S26" s="11"/>
    </row>
    <row r="27" customFormat="false" ht="35.05" hidden="false" customHeight="false" outlineLevel="0" collapsed="false">
      <c r="A27" s="17" t="s">
        <v>235</v>
      </c>
      <c r="B27" s="17" t="s">
        <v>214</v>
      </c>
      <c r="C27" s="17" t="s">
        <v>215</v>
      </c>
      <c r="D27" s="17" t="s">
        <v>236</v>
      </c>
      <c r="E27" s="17" t="s">
        <v>237</v>
      </c>
      <c r="F27" s="17"/>
      <c r="G27" s="17" t="s">
        <v>98</v>
      </c>
      <c r="H27" s="17" t="s">
        <v>99</v>
      </c>
      <c r="I27" s="17" t="s">
        <v>168</v>
      </c>
      <c r="J27" s="18" t="s">
        <v>100</v>
      </c>
      <c r="K27" s="18" t="s">
        <v>101</v>
      </c>
      <c r="L27" s="18" t="n">
        <v>5</v>
      </c>
      <c r="M27" s="18" t="n">
        <v>7</v>
      </c>
      <c r="N27" s="17" t="str">
        <f aca="false">IF(M27&lt;=4,"R1 Foundation",IF(M27&lt;=8,"R2 Core Clinic",IF(M27&lt;=13,"R3 Revenue &amp; Messaging",IF(M27&lt;=18,"R4 Patient &amp; Platform",IF(M27&lt;=20,"R5 Harden","R6 Launch")))))</f>
        <v>R2 Core Clinic</v>
      </c>
      <c r="O27" s="19" t="n">
        <f aca="false">L27*README!$B$32</f>
        <v>3</v>
      </c>
      <c r="P27" s="17" t="s">
        <v>225</v>
      </c>
      <c r="Q27" s="17" t="s">
        <v>238</v>
      </c>
      <c r="R27" s="17" t="s">
        <v>103</v>
      </c>
      <c r="S27" s="17"/>
    </row>
    <row r="28" customFormat="false" ht="23.85" hidden="false" customHeight="false" outlineLevel="0" collapsed="false">
      <c r="A28" s="11" t="s">
        <v>239</v>
      </c>
      <c r="B28" s="11" t="s">
        <v>214</v>
      </c>
      <c r="C28" s="11" t="s">
        <v>215</v>
      </c>
      <c r="D28" s="11" t="s">
        <v>240</v>
      </c>
      <c r="E28" s="11" t="s">
        <v>241</v>
      </c>
      <c r="F28" s="11" t="s">
        <v>242</v>
      </c>
      <c r="G28" s="11" t="s">
        <v>98</v>
      </c>
      <c r="H28" s="11" t="s">
        <v>99</v>
      </c>
      <c r="I28" s="11" t="s">
        <v>168</v>
      </c>
      <c r="J28" s="15" t="s">
        <v>100</v>
      </c>
      <c r="K28" s="15" t="s">
        <v>101</v>
      </c>
      <c r="L28" s="15" t="n">
        <v>5</v>
      </c>
      <c r="M28" s="15" t="n">
        <v>7</v>
      </c>
      <c r="N28" s="11" t="str">
        <f aca="false">IF(M28&lt;=4,"R1 Foundation",IF(M28&lt;=8,"R2 Core Clinic",IF(M28&lt;=13,"R3 Revenue &amp; Messaging",IF(M28&lt;=18,"R4 Patient &amp; Platform",IF(M28&lt;=20,"R5 Harden","R6 Launch")))))</f>
        <v>R2 Core Clinic</v>
      </c>
      <c r="O28" s="16" t="n">
        <f aca="false">L28*README!$B$32</f>
        <v>3</v>
      </c>
      <c r="P28" s="11" t="s">
        <v>225</v>
      </c>
      <c r="Q28" s="11" t="s">
        <v>243</v>
      </c>
      <c r="R28" s="11" t="s">
        <v>103</v>
      </c>
      <c r="S28" s="11"/>
    </row>
    <row r="29" customFormat="false" ht="35.05" hidden="false" customHeight="false" outlineLevel="0" collapsed="false">
      <c r="A29" s="17" t="s">
        <v>244</v>
      </c>
      <c r="B29" s="17" t="s">
        <v>214</v>
      </c>
      <c r="C29" s="17" t="s">
        <v>215</v>
      </c>
      <c r="D29" s="17" t="s">
        <v>245</v>
      </c>
      <c r="E29" s="17" t="s">
        <v>246</v>
      </c>
      <c r="F29" s="17" t="s">
        <v>247</v>
      </c>
      <c r="G29" s="17" t="s">
        <v>98</v>
      </c>
      <c r="H29" s="17" t="s">
        <v>99</v>
      </c>
      <c r="I29" s="17" t="s">
        <v>168</v>
      </c>
      <c r="J29" s="18" t="s">
        <v>100</v>
      </c>
      <c r="K29" s="18" t="s">
        <v>101</v>
      </c>
      <c r="L29" s="18" t="n">
        <v>8</v>
      </c>
      <c r="M29" s="18" t="n">
        <v>8</v>
      </c>
      <c r="N29" s="17" t="str">
        <f aca="false">IF(M29&lt;=4,"R1 Foundation",IF(M29&lt;=8,"R2 Core Clinic",IF(M29&lt;=13,"R3 Revenue &amp; Messaging",IF(M29&lt;=18,"R4 Patient &amp; Platform",IF(M29&lt;=20,"R5 Harden","R6 Launch")))))</f>
        <v>R2 Core Clinic</v>
      </c>
      <c r="O29" s="19" t="n">
        <f aca="false">L29*README!$B$32</f>
        <v>4.8</v>
      </c>
      <c r="P29" s="17" t="s">
        <v>248</v>
      </c>
      <c r="Q29" s="17" t="s">
        <v>249</v>
      </c>
      <c r="R29" s="17" t="s">
        <v>103</v>
      </c>
      <c r="S29" s="17"/>
    </row>
    <row r="30" customFormat="false" ht="23.85" hidden="false" customHeight="false" outlineLevel="0" collapsed="false">
      <c r="A30" s="11" t="s">
        <v>250</v>
      </c>
      <c r="B30" s="11" t="s">
        <v>214</v>
      </c>
      <c r="C30" s="11" t="s">
        <v>215</v>
      </c>
      <c r="D30" s="11" t="s">
        <v>251</v>
      </c>
      <c r="E30" s="11" t="s">
        <v>252</v>
      </c>
      <c r="F30" s="11" t="s">
        <v>129</v>
      </c>
      <c r="G30" s="11" t="s">
        <v>98</v>
      </c>
      <c r="H30" s="11" t="s">
        <v>99</v>
      </c>
      <c r="I30" s="11" t="s">
        <v>168</v>
      </c>
      <c r="J30" s="15" t="s">
        <v>100</v>
      </c>
      <c r="K30" s="15" t="s">
        <v>101</v>
      </c>
      <c r="L30" s="15" t="n">
        <v>5</v>
      </c>
      <c r="M30" s="15" t="n">
        <v>9</v>
      </c>
      <c r="N30" s="11" t="str">
        <f aca="false">IF(M30&lt;=4,"R1 Foundation",IF(M30&lt;=8,"R2 Core Clinic",IF(M30&lt;=13,"R3 Revenue &amp; Messaging",IF(M30&lt;=18,"R4 Patient &amp; Platform",IF(M30&lt;=20,"R5 Harden","R6 Launch")))))</f>
        <v>R3 Revenue &amp; Messaging</v>
      </c>
      <c r="O30" s="16" t="n">
        <f aca="false">L30*README!$B$32</f>
        <v>3</v>
      </c>
      <c r="P30" s="11" t="s">
        <v>253</v>
      </c>
      <c r="Q30" s="11" t="s">
        <v>254</v>
      </c>
      <c r="R30" s="11" t="s">
        <v>103</v>
      </c>
      <c r="S30" s="11"/>
    </row>
    <row r="31" customFormat="false" ht="23.85" hidden="false" customHeight="false" outlineLevel="0" collapsed="false">
      <c r="A31" s="17" t="s">
        <v>255</v>
      </c>
      <c r="B31" s="17" t="s">
        <v>256</v>
      </c>
      <c r="C31" s="17" t="s">
        <v>257</v>
      </c>
      <c r="D31" s="17" t="s">
        <v>258</v>
      </c>
      <c r="E31" s="17" t="s">
        <v>259</v>
      </c>
      <c r="F31" s="17" t="s">
        <v>260</v>
      </c>
      <c r="G31" s="17" t="s">
        <v>98</v>
      </c>
      <c r="H31" s="17" t="s">
        <v>99</v>
      </c>
      <c r="I31" s="17" t="s">
        <v>168</v>
      </c>
      <c r="J31" s="18" t="s">
        <v>100</v>
      </c>
      <c r="K31" s="18" t="s">
        <v>101</v>
      </c>
      <c r="L31" s="18" t="n">
        <v>8</v>
      </c>
      <c r="M31" s="18" t="n">
        <v>3</v>
      </c>
      <c r="N31" s="17" t="str">
        <f aca="false">IF(M31&lt;=4,"R1 Foundation",IF(M31&lt;=8,"R2 Core Clinic",IF(M31&lt;=13,"R3 Revenue &amp; Messaging",IF(M31&lt;=18,"R4 Patient &amp; Platform",IF(M31&lt;=20,"R5 Harden","R6 Launch")))))</f>
        <v>R1 Foundation</v>
      </c>
      <c r="O31" s="19" t="n">
        <f aca="false">L31*README!$B$32</f>
        <v>4.8</v>
      </c>
      <c r="P31" s="17" t="s">
        <v>186</v>
      </c>
      <c r="Q31" s="17" t="s">
        <v>261</v>
      </c>
      <c r="R31" s="17" t="s">
        <v>103</v>
      </c>
      <c r="S31" s="17"/>
    </row>
    <row r="32" customFormat="false" ht="23.85" hidden="false" customHeight="false" outlineLevel="0" collapsed="false">
      <c r="A32" s="11" t="s">
        <v>262</v>
      </c>
      <c r="B32" s="11" t="s">
        <v>256</v>
      </c>
      <c r="C32" s="11" t="s">
        <v>257</v>
      </c>
      <c r="D32" s="11" t="s">
        <v>263</v>
      </c>
      <c r="E32" s="11" t="s">
        <v>264</v>
      </c>
      <c r="F32" s="11"/>
      <c r="G32" s="11" t="s">
        <v>98</v>
      </c>
      <c r="H32" s="11" t="s">
        <v>99</v>
      </c>
      <c r="I32" s="11" t="s">
        <v>168</v>
      </c>
      <c r="J32" s="15" t="s">
        <v>100</v>
      </c>
      <c r="K32" s="15" t="s">
        <v>101</v>
      </c>
      <c r="L32" s="15" t="n">
        <v>8</v>
      </c>
      <c r="M32" s="15" t="n">
        <v>4</v>
      </c>
      <c r="N32" s="11" t="str">
        <f aca="false">IF(M32&lt;=4,"R1 Foundation",IF(M32&lt;=8,"R2 Core Clinic",IF(M32&lt;=13,"R3 Revenue &amp; Messaging",IF(M32&lt;=18,"R4 Patient &amp; Platform",IF(M32&lt;=20,"R5 Harden","R6 Launch")))))</f>
        <v>R1 Foundation</v>
      </c>
      <c r="O32" s="16" t="n">
        <f aca="false">L32*README!$B$32</f>
        <v>4.8</v>
      </c>
      <c r="P32" s="11" t="s">
        <v>265</v>
      </c>
      <c r="Q32" s="11" t="s">
        <v>266</v>
      </c>
      <c r="R32" s="11" t="s">
        <v>103</v>
      </c>
      <c r="S32" s="11"/>
    </row>
    <row r="33" customFormat="false" ht="46.25" hidden="false" customHeight="false" outlineLevel="0" collapsed="false">
      <c r="A33" s="17" t="s">
        <v>267</v>
      </c>
      <c r="B33" s="17" t="s">
        <v>256</v>
      </c>
      <c r="C33" s="17" t="s">
        <v>257</v>
      </c>
      <c r="D33" s="17" t="s">
        <v>268</v>
      </c>
      <c r="E33" s="17" t="s">
        <v>269</v>
      </c>
      <c r="F33" s="17" t="s">
        <v>270</v>
      </c>
      <c r="G33" s="17" t="s">
        <v>98</v>
      </c>
      <c r="H33" s="17" t="s">
        <v>99</v>
      </c>
      <c r="I33" s="17" t="s">
        <v>168</v>
      </c>
      <c r="J33" s="18" t="s">
        <v>100</v>
      </c>
      <c r="K33" s="18" t="s">
        <v>101</v>
      </c>
      <c r="L33" s="18" t="n">
        <v>5</v>
      </c>
      <c r="M33" s="18" t="n">
        <v>5</v>
      </c>
      <c r="N33" s="17" t="str">
        <f aca="false">IF(M33&lt;=4,"R1 Foundation",IF(M33&lt;=8,"R2 Core Clinic",IF(M33&lt;=13,"R3 Revenue &amp; Messaging",IF(M33&lt;=18,"R4 Patient &amp; Platform",IF(M33&lt;=20,"R5 Harden","R6 Launch")))))</f>
        <v>R2 Core Clinic</v>
      </c>
      <c r="O33" s="19" t="n">
        <f aca="false">L33*README!$B$32</f>
        <v>3</v>
      </c>
      <c r="P33" s="17" t="s">
        <v>262</v>
      </c>
      <c r="Q33" s="17" t="s">
        <v>271</v>
      </c>
      <c r="R33" s="17" t="s">
        <v>103</v>
      </c>
      <c r="S33" s="17"/>
    </row>
    <row r="34" customFormat="false" ht="23.85" hidden="false" customHeight="false" outlineLevel="0" collapsed="false">
      <c r="A34" s="11" t="s">
        <v>272</v>
      </c>
      <c r="B34" s="11" t="s">
        <v>256</v>
      </c>
      <c r="C34" s="11" t="s">
        <v>257</v>
      </c>
      <c r="D34" s="11" t="s">
        <v>273</v>
      </c>
      <c r="E34" s="11" t="s">
        <v>274</v>
      </c>
      <c r="F34" s="11"/>
      <c r="G34" s="11" t="s">
        <v>98</v>
      </c>
      <c r="H34" s="11" t="s">
        <v>99</v>
      </c>
      <c r="I34" s="11" t="s">
        <v>168</v>
      </c>
      <c r="J34" s="15" t="s">
        <v>100</v>
      </c>
      <c r="K34" s="15" t="s">
        <v>101</v>
      </c>
      <c r="L34" s="15" t="n">
        <v>3</v>
      </c>
      <c r="M34" s="15" t="n">
        <v>4</v>
      </c>
      <c r="N34" s="11" t="str">
        <f aca="false">IF(M34&lt;=4,"R1 Foundation",IF(M34&lt;=8,"R2 Core Clinic",IF(M34&lt;=13,"R3 Revenue &amp; Messaging",IF(M34&lt;=18,"R4 Patient &amp; Platform",IF(M34&lt;=20,"R5 Harden","R6 Launch")))))</f>
        <v>R1 Foundation</v>
      </c>
      <c r="O34" s="16" t="n">
        <f aca="false">L34*README!$B$32</f>
        <v>1.8</v>
      </c>
      <c r="P34" s="11" t="s">
        <v>255</v>
      </c>
      <c r="Q34" s="11" t="s">
        <v>275</v>
      </c>
      <c r="R34" s="11" t="s">
        <v>103</v>
      </c>
      <c r="S34" s="11"/>
    </row>
    <row r="35" customFormat="false" ht="23.85" hidden="false" customHeight="false" outlineLevel="0" collapsed="false">
      <c r="A35" s="17" t="s">
        <v>276</v>
      </c>
      <c r="B35" s="17" t="s">
        <v>256</v>
      </c>
      <c r="C35" s="17" t="s">
        <v>257</v>
      </c>
      <c r="D35" s="17" t="s">
        <v>277</v>
      </c>
      <c r="E35" s="17" t="s">
        <v>278</v>
      </c>
      <c r="F35" s="17"/>
      <c r="G35" s="17" t="s">
        <v>279</v>
      </c>
      <c r="H35" s="17" t="s">
        <v>99</v>
      </c>
      <c r="I35" s="17" t="s">
        <v>168</v>
      </c>
      <c r="J35" s="18" t="s">
        <v>100</v>
      </c>
      <c r="K35" s="18" t="s">
        <v>101</v>
      </c>
      <c r="L35" s="18" t="n">
        <v>5</v>
      </c>
      <c r="M35" s="18" t="n">
        <v>5</v>
      </c>
      <c r="N35" s="17" t="str">
        <f aca="false">IF(M35&lt;=4,"R1 Foundation",IF(M35&lt;=8,"R2 Core Clinic",IF(M35&lt;=13,"R3 Revenue &amp; Messaging",IF(M35&lt;=18,"R4 Patient &amp; Platform",IF(M35&lt;=20,"R5 Harden","R6 Launch")))))</f>
        <v>R2 Core Clinic</v>
      </c>
      <c r="O35" s="19" t="n">
        <f aca="false">L35*README!$B$32</f>
        <v>3</v>
      </c>
      <c r="P35" s="17" t="s">
        <v>255</v>
      </c>
      <c r="Q35" s="17" t="s">
        <v>280</v>
      </c>
      <c r="R35" s="17" t="s">
        <v>103</v>
      </c>
      <c r="S35" s="17"/>
    </row>
    <row r="36" customFormat="false" ht="35.05" hidden="false" customHeight="false" outlineLevel="0" collapsed="false">
      <c r="A36" s="11" t="s">
        <v>281</v>
      </c>
      <c r="B36" s="11" t="s">
        <v>256</v>
      </c>
      <c r="C36" s="11" t="s">
        <v>257</v>
      </c>
      <c r="D36" s="11" t="s">
        <v>282</v>
      </c>
      <c r="E36" s="11" t="s">
        <v>283</v>
      </c>
      <c r="F36" s="11"/>
      <c r="G36" s="11" t="s">
        <v>284</v>
      </c>
      <c r="H36" s="11" t="s">
        <v>99</v>
      </c>
      <c r="I36" s="11" t="s">
        <v>168</v>
      </c>
      <c r="J36" s="15" t="s">
        <v>100</v>
      </c>
      <c r="K36" s="15" t="s">
        <v>101</v>
      </c>
      <c r="L36" s="15" t="n">
        <v>3</v>
      </c>
      <c r="M36" s="15" t="n">
        <v>5</v>
      </c>
      <c r="N36" s="11" t="str">
        <f aca="false">IF(M36&lt;=4,"R1 Foundation",IF(M36&lt;=8,"R2 Core Clinic",IF(M36&lt;=13,"R3 Revenue &amp; Messaging",IF(M36&lt;=18,"R4 Patient &amp; Platform",IF(M36&lt;=20,"R5 Harden","R6 Launch")))))</f>
        <v>R2 Core Clinic</v>
      </c>
      <c r="O36" s="16" t="n">
        <f aca="false">L36*README!$B$32</f>
        <v>1.8</v>
      </c>
      <c r="P36" s="11" t="s">
        <v>255</v>
      </c>
      <c r="Q36" s="11" t="s">
        <v>285</v>
      </c>
      <c r="R36" s="11" t="s">
        <v>103</v>
      </c>
      <c r="S36" s="11"/>
    </row>
    <row r="37" customFormat="false" ht="23.85" hidden="false" customHeight="false" outlineLevel="0" collapsed="false">
      <c r="A37" s="17" t="s">
        <v>286</v>
      </c>
      <c r="B37" s="17" t="s">
        <v>256</v>
      </c>
      <c r="C37" s="17" t="s">
        <v>257</v>
      </c>
      <c r="D37" s="17" t="s">
        <v>287</v>
      </c>
      <c r="E37" s="17" t="s">
        <v>288</v>
      </c>
      <c r="F37" s="17" t="s">
        <v>289</v>
      </c>
      <c r="G37" s="17" t="s">
        <v>290</v>
      </c>
      <c r="H37" s="17" t="s">
        <v>291</v>
      </c>
      <c r="I37" s="17" t="s">
        <v>292</v>
      </c>
      <c r="J37" s="18" t="s">
        <v>100</v>
      </c>
      <c r="K37" s="18" t="s">
        <v>101</v>
      </c>
      <c r="L37" s="18" t="n">
        <v>5</v>
      </c>
      <c r="M37" s="18" t="n">
        <v>8</v>
      </c>
      <c r="N37" s="17" t="str">
        <f aca="false">IF(M37&lt;=4,"R1 Foundation",IF(M37&lt;=8,"R2 Core Clinic",IF(M37&lt;=13,"R3 Revenue &amp; Messaging",IF(M37&lt;=18,"R4 Patient &amp; Platform",IF(M37&lt;=20,"R5 Harden","R6 Launch")))))</f>
        <v>R2 Core Clinic</v>
      </c>
      <c r="O37" s="19" t="n">
        <f aca="false">L37*README!$B$32</f>
        <v>3</v>
      </c>
      <c r="P37" s="17" t="s">
        <v>293</v>
      </c>
      <c r="Q37" s="17" t="s">
        <v>294</v>
      </c>
      <c r="R37" s="17" t="s">
        <v>103</v>
      </c>
      <c r="S37" s="17"/>
    </row>
    <row r="38" customFormat="false" ht="23.85" hidden="false" customHeight="false" outlineLevel="0" collapsed="false">
      <c r="A38" s="11" t="s">
        <v>295</v>
      </c>
      <c r="B38" s="11" t="s">
        <v>256</v>
      </c>
      <c r="C38" s="11" t="s">
        <v>257</v>
      </c>
      <c r="D38" s="11" t="s">
        <v>296</v>
      </c>
      <c r="E38" s="11" t="s">
        <v>297</v>
      </c>
      <c r="F38" s="11"/>
      <c r="G38" s="11" t="s">
        <v>98</v>
      </c>
      <c r="H38" s="11" t="s">
        <v>99</v>
      </c>
      <c r="I38" s="11" t="s">
        <v>168</v>
      </c>
      <c r="J38" s="15" t="s">
        <v>130</v>
      </c>
      <c r="K38" s="15" t="s">
        <v>101</v>
      </c>
      <c r="L38" s="15" t="n">
        <v>3</v>
      </c>
      <c r="M38" s="15" t="n">
        <v>7</v>
      </c>
      <c r="N38" s="11" t="str">
        <f aca="false">IF(M38&lt;=4,"R1 Foundation",IF(M38&lt;=8,"R2 Core Clinic",IF(M38&lt;=13,"R3 Revenue &amp; Messaging",IF(M38&lt;=18,"R4 Patient &amp; Platform",IF(M38&lt;=20,"R5 Harden","R6 Launch")))))</f>
        <v>R2 Core Clinic</v>
      </c>
      <c r="O38" s="16" t="n">
        <f aca="false">L38*README!$B$32</f>
        <v>1.8</v>
      </c>
      <c r="P38" s="11" t="s">
        <v>255</v>
      </c>
      <c r="Q38" s="11" t="s">
        <v>298</v>
      </c>
      <c r="R38" s="11" t="s">
        <v>103</v>
      </c>
      <c r="S38" s="11"/>
    </row>
    <row r="39" customFormat="false" ht="23.85" hidden="false" customHeight="false" outlineLevel="0" collapsed="false">
      <c r="A39" s="17" t="s">
        <v>299</v>
      </c>
      <c r="B39" s="17" t="s">
        <v>256</v>
      </c>
      <c r="C39" s="17" t="s">
        <v>257</v>
      </c>
      <c r="D39" s="17" t="s">
        <v>300</v>
      </c>
      <c r="E39" s="17" t="s">
        <v>301</v>
      </c>
      <c r="F39" s="17"/>
      <c r="G39" s="17" t="s">
        <v>302</v>
      </c>
      <c r="H39" s="17" t="s">
        <v>99</v>
      </c>
      <c r="I39" s="17" t="s">
        <v>303</v>
      </c>
      <c r="J39" s="18" t="s">
        <v>100</v>
      </c>
      <c r="K39" s="18" t="s">
        <v>101</v>
      </c>
      <c r="L39" s="18" t="n">
        <v>5</v>
      </c>
      <c r="M39" s="18" t="n">
        <v>16</v>
      </c>
      <c r="N39" s="17" t="str">
        <f aca="false">IF(M39&lt;=4,"R1 Foundation",IF(M39&lt;=8,"R2 Core Clinic",IF(M39&lt;=13,"R3 Revenue &amp; Messaging",IF(M39&lt;=18,"R4 Patient &amp; Platform",IF(M39&lt;=20,"R5 Harden","R6 Launch")))))</f>
        <v>R4 Patient &amp; Platform</v>
      </c>
      <c r="O39" s="19" t="n">
        <f aca="false">L39*README!$B$32</f>
        <v>3</v>
      </c>
      <c r="P39" s="17" t="s">
        <v>304</v>
      </c>
      <c r="Q39" s="17" t="s">
        <v>305</v>
      </c>
      <c r="R39" s="17" t="s">
        <v>103</v>
      </c>
      <c r="S39" s="17"/>
    </row>
    <row r="40" customFormat="false" ht="23.85" hidden="false" customHeight="false" outlineLevel="0" collapsed="false">
      <c r="A40" s="11" t="s">
        <v>306</v>
      </c>
      <c r="B40" s="11" t="s">
        <v>256</v>
      </c>
      <c r="C40" s="11" t="s">
        <v>257</v>
      </c>
      <c r="D40" s="11" t="s">
        <v>307</v>
      </c>
      <c r="E40" s="11" t="s">
        <v>308</v>
      </c>
      <c r="F40" s="11" t="s">
        <v>260</v>
      </c>
      <c r="G40" s="11" t="s">
        <v>309</v>
      </c>
      <c r="H40" s="11" t="s">
        <v>310</v>
      </c>
      <c r="I40" s="11" t="s">
        <v>292</v>
      </c>
      <c r="J40" s="15" t="s">
        <v>130</v>
      </c>
      <c r="K40" s="15" t="s">
        <v>211</v>
      </c>
      <c r="L40" s="15" t="n">
        <v>8</v>
      </c>
      <c r="M40" s="15" t="n">
        <v>17</v>
      </c>
      <c r="N40" s="11" t="str">
        <f aca="false">IF(M40&lt;=4,"R1 Foundation",IF(M40&lt;=8,"R2 Core Clinic",IF(M40&lt;=13,"R3 Revenue &amp; Messaging",IF(M40&lt;=18,"R4 Patient &amp; Platform",IF(M40&lt;=20,"R5 Harden","R6 Launch")))))</f>
        <v>R4 Patient &amp; Platform</v>
      </c>
      <c r="O40" s="16" t="n">
        <f aca="false">L40*README!$B$32</f>
        <v>4.8</v>
      </c>
      <c r="P40" s="11" t="s">
        <v>311</v>
      </c>
      <c r="Q40" s="11" t="s">
        <v>312</v>
      </c>
      <c r="R40" s="11" t="s">
        <v>103</v>
      </c>
      <c r="S40" s="11"/>
    </row>
    <row r="41" customFormat="false" ht="23.85" hidden="false" customHeight="false" outlineLevel="0" collapsed="false">
      <c r="A41" s="17" t="s">
        <v>313</v>
      </c>
      <c r="B41" s="17" t="s">
        <v>314</v>
      </c>
      <c r="C41" s="17" t="s">
        <v>315</v>
      </c>
      <c r="D41" s="17" t="s">
        <v>316</v>
      </c>
      <c r="E41" s="17" t="s">
        <v>317</v>
      </c>
      <c r="F41" s="17" t="s">
        <v>318</v>
      </c>
      <c r="G41" s="17" t="s">
        <v>98</v>
      </c>
      <c r="H41" s="17" t="s">
        <v>99</v>
      </c>
      <c r="I41" s="17" t="s">
        <v>319</v>
      </c>
      <c r="J41" s="18" t="s">
        <v>100</v>
      </c>
      <c r="K41" s="18" t="s">
        <v>101</v>
      </c>
      <c r="L41" s="18" t="n">
        <v>8</v>
      </c>
      <c r="M41" s="18" t="n">
        <v>2</v>
      </c>
      <c r="N41" s="17" t="str">
        <f aca="false">IF(M41&lt;=4,"R1 Foundation",IF(M41&lt;=8,"R2 Core Clinic",IF(M41&lt;=13,"R3 Revenue &amp; Messaging",IF(M41&lt;=18,"R4 Patient &amp; Platform",IF(M41&lt;=20,"R5 Harden","R6 Launch")))))</f>
        <v>R1 Foundation</v>
      </c>
      <c r="O41" s="19" t="n">
        <f aca="false">L41*README!$B$32</f>
        <v>4.8</v>
      </c>
      <c r="P41" s="17" t="s">
        <v>320</v>
      </c>
      <c r="Q41" s="17" t="s">
        <v>321</v>
      </c>
      <c r="R41" s="17" t="s">
        <v>103</v>
      </c>
      <c r="S41" s="17"/>
    </row>
    <row r="42" customFormat="false" ht="23.85" hidden="false" customHeight="false" outlineLevel="0" collapsed="false">
      <c r="A42" s="11" t="s">
        <v>322</v>
      </c>
      <c r="B42" s="11" t="s">
        <v>314</v>
      </c>
      <c r="C42" s="11" t="s">
        <v>315</v>
      </c>
      <c r="D42" s="11" t="s">
        <v>323</v>
      </c>
      <c r="E42" s="11" t="s">
        <v>324</v>
      </c>
      <c r="F42" s="11" t="s">
        <v>325</v>
      </c>
      <c r="G42" s="11" t="s">
        <v>98</v>
      </c>
      <c r="H42" s="11" t="s">
        <v>99</v>
      </c>
      <c r="I42" s="11" t="s">
        <v>319</v>
      </c>
      <c r="J42" s="15" t="s">
        <v>100</v>
      </c>
      <c r="K42" s="15" t="s">
        <v>101</v>
      </c>
      <c r="L42" s="15" t="n">
        <v>5</v>
      </c>
      <c r="M42" s="15" t="n">
        <v>3</v>
      </c>
      <c r="N42" s="11" t="str">
        <f aca="false">IF(M42&lt;=4,"R1 Foundation",IF(M42&lt;=8,"R2 Core Clinic",IF(M42&lt;=13,"R3 Revenue &amp; Messaging",IF(M42&lt;=18,"R4 Patient &amp; Platform",IF(M42&lt;=20,"R5 Harden","R6 Launch")))))</f>
        <v>R1 Foundation</v>
      </c>
      <c r="O42" s="16" t="n">
        <f aca="false">L42*README!$B$32</f>
        <v>3</v>
      </c>
      <c r="P42" s="11" t="s">
        <v>313</v>
      </c>
      <c r="Q42" s="11" t="s">
        <v>326</v>
      </c>
      <c r="R42" s="11" t="s">
        <v>103</v>
      </c>
      <c r="S42" s="11"/>
    </row>
    <row r="43" customFormat="false" ht="23.85" hidden="false" customHeight="false" outlineLevel="0" collapsed="false">
      <c r="A43" s="17" t="s">
        <v>327</v>
      </c>
      <c r="B43" s="17" t="s">
        <v>314</v>
      </c>
      <c r="C43" s="17" t="s">
        <v>315</v>
      </c>
      <c r="D43" s="17" t="s">
        <v>328</v>
      </c>
      <c r="E43" s="17" t="s">
        <v>329</v>
      </c>
      <c r="F43" s="17" t="s">
        <v>19</v>
      </c>
      <c r="G43" s="17" t="s">
        <v>142</v>
      </c>
      <c r="H43" s="17" t="s">
        <v>99</v>
      </c>
      <c r="I43" s="17" t="s">
        <v>319</v>
      </c>
      <c r="J43" s="18" t="s">
        <v>100</v>
      </c>
      <c r="K43" s="18" t="s">
        <v>101</v>
      </c>
      <c r="L43" s="18" t="n">
        <v>5</v>
      </c>
      <c r="M43" s="18" t="n">
        <v>4</v>
      </c>
      <c r="N43" s="17" t="str">
        <f aca="false">IF(M43&lt;=4,"R1 Foundation",IF(M43&lt;=8,"R2 Core Clinic",IF(M43&lt;=13,"R3 Revenue &amp; Messaging",IF(M43&lt;=18,"R4 Patient &amp; Platform",IF(M43&lt;=20,"R5 Harden","R6 Launch")))))</f>
        <v>R1 Foundation</v>
      </c>
      <c r="O43" s="19" t="n">
        <f aca="false">L43*README!$B$32</f>
        <v>3</v>
      </c>
      <c r="P43" s="17" t="s">
        <v>313</v>
      </c>
      <c r="Q43" s="17" t="s">
        <v>330</v>
      </c>
      <c r="R43" s="17" t="s">
        <v>103</v>
      </c>
      <c r="S43" s="17"/>
    </row>
    <row r="44" customFormat="false" ht="23.85" hidden="false" customHeight="false" outlineLevel="0" collapsed="false">
      <c r="A44" s="11" t="s">
        <v>331</v>
      </c>
      <c r="B44" s="11" t="s">
        <v>314</v>
      </c>
      <c r="C44" s="11" t="s">
        <v>315</v>
      </c>
      <c r="D44" s="11" t="s">
        <v>332</v>
      </c>
      <c r="E44" s="11" t="s">
        <v>333</v>
      </c>
      <c r="F44" s="11"/>
      <c r="G44" s="11" t="s">
        <v>98</v>
      </c>
      <c r="H44" s="11" t="s">
        <v>99</v>
      </c>
      <c r="I44" s="11" t="s">
        <v>319</v>
      </c>
      <c r="J44" s="15" t="s">
        <v>100</v>
      </c>
      <c r="K44" s="15" t="s">
        <v>101</v>
      </c>
      <c r="L44" s="15" t="n">
        <v>5</v>
      </c>
      <c r="M44" s="15" t="n">
        <v>3</v>
      </c>
      <c r="N44" s="11" t="str">
        <f aca="false">IF(M44&lt;=4,"R1 Foundation",IF(M44&lt;=8,"R2 Core Clinic",IF(M44&lt;=13,"R3 Revenue &amp; Messaging",IF(M44&lt;=18,"R4 Patient &amp; Platform",IF(M44&lt;=20,"R5 Harden","R6 Launch")))))</f>
        <v>R1 Foundation</v>
      </c>
      <c r="O44" s="16" t="n">
        <f aca="false">L44*README!$B$32</f>
        <v>3</v>
      </c>
      <c r="P44" s="11" t="s">
        <v>313</v>
      </c>
      <c r="Q44" s="11" t="s">
        <v>334</v>
      </c>
      <c r="R44" s="11" t="s">
        <v>103</v>
      </c>
      <c r="S44" s="11"/>
    </row>
    <row r="45" customFormat="false" ht="23.85" hidden="false" customHeight="false" outlineLevel="0" collapsed="false">
      <c r="A45" s="17" t="s">
        <v>335</v>
      </c>
      <c r="B45" s="17" t="s">
        <v>314</v>
      </c>
      <c r="C45" s="17" t="s">
        <v>315</v>
      </c>
      <c r="D45" s="17" t="s">
        <v>336</v>
      </c>
      <c r="E45" s="17" t="s">
        <v>337</v>
      </c>
      <c r="F45" s="17"/>
      <c r="G45" s="17" t="s">
        <v>338</v>
      </c>
      <c r="H45" s="17" t="s">
        <v>291</v>
      </c>
      <c r="I45" s="17" t="s">
        <v>168</v>
      </c>
      <c r="J45" s="18" t="s">
        <v>100</v>
      </c>
      <c r="K45" s="18" t="s">
        <v>101</v>
      </c>
      <c r="L45" s="18" t="n">
        <v>3</v>
      </c>
      <c r="M45" s="18" t="n">
        <v>6</v>
      </c>
      <c r="N45" s="17" t="str">
        <f aca="false">IF(M45&lt;=4,"R1 Foundation",IF(M45&lt;=8,"R2 Core Clinic",IF(M45&lt;=13,"R3 Revenue &amp; Messaging",IF(M45&lt;=18,"R4 Patient &amp; Platform",IF(M45&lt;=20,"R5 Harden","R6 Launch")))))</f>
        <v>R2 Core Clinic</v>
      </c>
      <c r="O45" s="19" t="n">
        <f aca="false">L45*README!$B$32</f>
        <v>1.8</v>
      </c>
      <c r="P45" s="17" t="s">
        <v>331</v>
      </c>
      <c r="Q45" s="17" t="s">
        <v>339</v>
      </c>
      <c r="R45" s="17" t="s">
        <v>103</v>
      </c>
      <c r="S45" s="17"/>
    </row>
    <row r="46" customFormat="false" ht="23.85" hidden="false" customHeight="false" outlineLevel="0" collapsed="false">
      <c r="A46" s="11" t="s">
        <v>340</v>
      </c>
      <c r="B46" s="11" t="s">
        <v>314</v>
      </c>
      <c r="C46" s="11" t="s">
        <v>315</v>
      </c>
      <c r="D46" s="11" t="s">
        <v>341</v>
      </c>
      <c r="E46" s="11" t="s">
        <v>342</v>
      </c>
      <c r="F46" s="11" t="s">
        <v>325</v>
      </c>
      <c r="G46" s="11" t="s">
        <v>233</v>
      </c>
      <c r="H46" s="11" t="s">
        <v>291</v>
      </c>
      <c r="I46" s="11" t="s">
        <v>292</v>
      </c>
      <c r="J46" s="15" t="s">
        <v>100</v>
      </c>
      <c r="K46" s="15" t="s">
        <v>101</v>
      </c>
      <c r="L46" s="15" t="n">
        <v>5</v>
      </c>
      <c r="M46" s="15" t="n">
        <v>7</v>
      </c>
      <c r="N46" s="11" t="str">
        <f aca="false">IF(M46&lt;=4,"R1 Foundation",IF(M46&lt;=8,"R2 Core Clinic",IF(M46&lt;=13,"R3 Revenue &amp; Messaging",IF(M46&lt;=18,"R4 Patient &amp; Platform",IF(M46&lt;=20,"R5 Harden","R6 Launch")))))</f>
        <v>R2 Core Clinic</v>
      </c>
      <c r="O46" s="16" t="n">
        <f aca="false">L46*README!$B$32</f>
        <v>3</v>
      </c>
      <c r="P46" s="11" t="s">
        <v>343</v>
      </c>
      <c r="Q46" s="11" t="s">
        <v>344</v>
      </c>
      <c r="R46" s="11" t="s">
        <v>103</v>
      </c>
      <c r="S46" s="11"/>
    </row>
    <row r="47" customFormat="false" ht="23.85" hidden="false" customHeight="false" outlineLevel="0" collapsed="false">
      <c r="A47" s="17" t="s">
        <v>345</v>
      </c>
      <c r="B47" s="17" t="s">
        <v>314</v>
      </c>
      <c r="C47" s="17" t="s">
        <v>315</v>
      </c>
      <c r="D47" s="17" t="s">
        <v>346</v>
      </c>
      <c r="E47" s="17" t="s">
        <v>347</v>
      </c>
      <c r="F47" s="17"/>
      <c r="G47" s="17" t="s">
        <v>98</v>
      </c>
      <c r="H47" s="17" t="s">
        <v>99</v>
      </c>
      <c r="I47" s="17" t="s">
        <v>319</v>
      </c>
      <c r="J47" s="18" t="s">
        <v>100</v>
      </c>
      <c r="K47" s="18" t="s">
        <v>101</v>
      </c>
      <c r="L47" s="18" t="n">
        <v>3</v>
      </c>
      <c r="M47" s="18" t="n">
        <v>5</v>
      </c>
      <c r="N47" s="17" t="str">
        <f aca="false">IF(M47&lt;=4,"R1 Foundation",IF(M47&lt;=8,"R2 Core Clinic",IF(M47&lt;=13,"R3 Revenue &amp; Messaging",IF(M47&lt;=18,"R4 Patient &amp; Platform",IF(M47&lt;=20,"R5 Harden","R6 Launch")))))</f>
        <v>R2 Core Clinic</v>
      </c>
      <c r="O47" s="19" t="n">
        <f aca="false">L47*README!$B$32</f>
        <v>1.8</v>
      </c>
      <c r="P47" s="17" t="s">
        <v>313</v>
      </c>
      <c r="Q47" s="17" t="s">
        <v>348</v>
      </c>
      <c r="R47" s="17" t="s">
        <v>103</v>
      </c>
      <c r="S47" s="17"/>
    </row>
    <row r="48" customFormat="false" ht="23.85" hidden="false" customHeight="false" outlineLevel="0" collapsed="false">
      <c r="A48" s="11" t="s">
        <v>349</v>
      </c>
      <c r="B48" s="11" t="s">
        <v>314</v>
      </c>
      <c r="C48" s="11" t="s">
        <v>315</v>
      </c>
      <c r="D48" s="11" t="s">
        <v>350</v>
      </c>
      <c r="E48" s="11" t="s">
        <v>351</v>
      </c>
      <c r="F48" s="11"/>
      <c r="G48" s="11" t="s">
        <v>233</v>
      </c>
      <c r="H48" s="11" t="s">
        <v>291</v>
      </c>
      <c r="I48" s="11" t="s">
        <v>114</v>
      </c>
      <c r="J48" s="15" t="s">
        <v>100</v>
      </c>
      <c r="K48" s="15" t="s">
        <v>101</v>
      </c>
      <c r="L48" s="15" t="n">
        <v>3</v>
      </c>
      <c r="M48" s="15" t="n">
        <v>7</v>
      </c>
      <c r="N48" s="11" t="str">
        <f aca="false">IF(M48&lt;=4,"R1 Foundation",IF(M48&lt;=8,"R2 Core Clinic",IF(M48&lt;=13,"R3 Revenue &amp; Messaging",IF(M48&lt;=18,"R4 Patient &amp; Platform",IF(M48&lt;=20,"R5 Harden","R6 Launch")))))</f>
        <v>R2 Core Clinic</v>
      </c>
      <c r="O48" s="16" t="n">
        <f aca="false">L48*README!$B$32</f>
        <v>1.8</v>
      </c>
      <c r="P48" s="11" t="s">
        <v>352</v>
      </c>
      <c r="Q48" s="11" t="s">
        <v>353</v>
      </c>
      <c r="R48" s="11" t="s">
        <v>103</v>
      </c>
      <c r="S48" s="11"/>
    </row>
    <row r="49" customFormat="false" ht="23.85" hidden="false" customHeight="false" outlineLevel="0" collapsed="false">
      <c r="A49" s="17" t="s">
        <v>354</v>
      </c>
      <c r="B49" s="17" t="s">
        <v>314</v>
      </c>
      <c r="C49" s="17" t="s">
        <v>315</v>
      </c>
      <c r="D49" s="17" t="s">
        <v>355</v>
      </c>
      <c r="E49" s="17" t="s">
        <v>356</v>
      </c>
      <c r="F49" s="17" t="s">
        <v>113</v>
      </c>
      <c r="G49" s="17" t="s">
        <v>357</v>
      </c>
      <c r="H49" s="17" t="s">
        <v>291</v>
      </c>
      <c r="I49" s="17" t="s">
        <v>319</v>
      </c>
      <c r="J49" s="18" t="s">
        <v>130</v>
      </c>
      <c r="K49" s="18" t="s">
        <v>211</v>
      </c>
      <c r="L49" s="18" t="n">
        <v>5</v>
      </c>
      <c r="M49" s="18" t="n">
        <v>15</v>
      </c>
      <c r="N49" s="17" t="str">
        <f aca="false">IF(M49&lt;=4,"R1 Foundation",IF(M49&lt;=8,"R2 Core Clinic",IF(M49&lt;=13,"R3 Revenue &amp; Messaging",IF(M49&lt;=18,"R4 Patient &amp; Platform",IF(M49&lt;=20,"R5 Harden","R6 Launch")))))</f>
        <v>R4 Patient &amp; Platform</v>
      </c>
      <c r="O49" s="19" t="n">
        <f aca="false">L49*README!$B$32</f>
        <v>3</v>
      </c>
      <c r="P49" s="17" t="s">
        <v>358</v>
      </c>
      <c r="Q49" s="17" t="s">
        <v>359</v>
      </c>
      <c r="R49" s="17" t="s">
        <v>103</v>
      </c>
      <c r="S49" s="17"/>
    </row>
    <row r="50" customFormat="false" ht="35.05" hidden="false" customHeight="false" outlineLevel="0" collapsed="false">
      <c r="A50" s="11" t="s">
        <v>360</v>
      </c>
      <c r="B50" s="11" t="s">
        <v>361</v>
      </c>
      <c r="C50" s="11" t="s">
        <v>362</v>
      </c>
      <c r="D50" s="11" t="s">
        <v>363</v>
      </c>
      <c r="E50" s="11" t="s">
        <v>364</v>
      </c>
      <c r="F50" s="11"/>
      <c r="G50" s="11" t="s">
        <v>98</v>
      </c>
      <c r="H50" s="11" t="s">
        <v>291</v>
      </c>
      <c r="I50" s="11" t="s">
        <v>114</v>
      </c>
      <c r="J50" s="15" t="s">
        <v>100</v>
      </c>
      <c r="K50" s="15" t="s">
        <v>101</v>
      </c>
      <c r="L50" s="15" t="n">
        <v>8</v>
      </c>
      <c r="M50" s="15" t="n">
        <v>4</v>
      </c>
      <c r="N50" s="11" t="str">
        <f aca="false">IF(M50&lt;=4,"R1 Foundation",IF(M50&lt;=8,"R2 Core Clinic",IF(M50&lt;=13,"R3 Revenue &amp; Messaging",IF(M50&lt;=18,"R4 Patient &amp; Platform",IF(M50&lt;=20,"R5 Harden","R6 Launch")))))</f>
        <v>R1 Foundation</v>
      </c>
      <c r="O50" s="16" t="n">
        <f aca="false">L50*README!$B$32</f>
        <v>4.8</v>
      </c>
      <c r="P50" s="11" t="s">
        <v>109</v>
      </c>
      <c r="Q50" s="11" t="s">
        <v>365</v>
      </c>
      <c r="R50" s="11" t="s">
        <v>103</v>
      </c>
      <c r="S50" s="11"/>
    </row>
    <row r="51" customFormat="false" ht="23.85" hidden="false" customHeight="false" outlineLevel="0" collapsed="false">
      <c r="A51" s="17" t="s">
        <v>366</v>
      </c>
      <c r="B51" s="17" t="s">
        <v>361</v>
      </c>
      <c r="C51" s="17" t="s">
        <v>362</v>
      </c>
      <c r="D51" s="17" t="s">
        <v>367</v>
      </c>
      <c r="E51" s="17" t="s">
        <v>368</v>
      </c>
      <c r="F51" s="17"/>
      <c r="G51" s="17" t="s">
        <v>98</v>
      </c>
      <c r="H51" s="17" t="s">
        <v>99</v>
      </c>
      <c r="I51" s="17" t="s">
        <v>319</v>
      </c>
      <c r="J51" s="18" t="s">
        <v>100</v>
      </c>
      <c r="K51" s="18" t="s">
        <v>101</v>
      </c>
      <c r="L51" s="18" t="n">
        <v>8</v>
      </c>
      <c r="M51" s="18" t="n">
        <v>5</v>
      </c>
      <c r="N51" s="17" t="str">
        <f aca="false">IF(M51&lt;=4,"R1 Foundation",IF(M51&lt;=8,"R2 Core Clinic",IF(M51&lt;=13,"R3 Revenue &amp; Messaging",IF(M51&lt;=18,"R4 Patient &amp; Platform",IF(M51&lt;=20,"R5 Harden","R6 Launch")))))</f>
        <v>R2 Core Clinic</v>
      </c>
      <c r="O51" s="19" t="n">
        <f aca="false">L51*README!$B$32</f>
        <v>4.8</v>
      </c>
      <c r="P51" s="17" t="s">
        <v>369</v>
      </c>
      <c r="Q51" s="17" t="s">
        <v>370</v>
      </c>
      <c r="R51" s="17" t="s">
        <v>103</v>
      </c>
      <c r="S51" s="17"/>
    </row>
    <row r="52" customFormat="false" ht="23.85" hidden="false" customHeight="false" outlineLevel="0" collapsed="false">
      <c r="A52" s="11" t="s">
        <v>371</v>
      </c>
      <c r="B52" s="11" t="s">
        <v>361</v>
      </c>
      <c r="C52" s="11" t="s">
        <v>362</v>
      </c>
      <c r="D52" s="11" t="s">
        <v>372</v>
      </c>
      <c r="E52" s="11" t="s">
        <v>373</v>
      </c>
      <c r="F52" s="11"/>
      <c r="G52" s="11" t="s">
        <v>374</v>
      </c>
      <c r="H52" s="11" t="s">
        <v>291</v>
      </c>
      <c r="I52" s="11" t="s">
        <v>114</v>
      </c>
      <c r="J52" s="15" t="s">
        <v>100</v>
      </c>
      <c r="K52" s="15" t="s">
        <v>101</v>
      </c>
      <c r="L52" s="15" t="n">
        <v>8</v>
      </c>
      <c r="M52" s="15" t="n">
        <v>6</v>
      </c>
      <c r="N52" s="11" t="str">
        <f aca="false">IF(M52&lt;=4,"R1 Foundation",IF(M52&lt;=8,"R2 Core Clinic",IF(M52&lt;=13,"R3 Revenue &amp; Messaging",IF(M52&lt;=18,"R4 Patient &amp; Platform",IF(M52&lt;=20,"R5 Harden","R6 Launch")))))</f>
        <v>R2 Core Clinic</v>
      </c>
      <c r="O52" s="16" t="n">
        <f aca="false">L52*README!$B$32</f>
        <v>4.8</v>
      </c>
      <c r="P52" s="11" t="s">
        <v>366</v>
      </c>
      <c r="Q52" s="11" t="s">
        <v>375</v>
      </c>
      <c r="R52" s="11" t="s">
        <v>103</v>
      </c>
      <c r="S52" s="11"/>
    </row>
    <row r="53" customFormat="false" ht="23.85" hidden="false" customHeight="false" outlineLevel="0" collapsed="false">
      <c r="A53" s="17" t="s">
        <v>376</v>
      </c>
      <c r="B53" s="17" t="s">
        <v>361</v>
      </c>
      <c r="C53" s="17" t="s">
        <v>362</v>
      </c>
      <c r="D53" s="17" t="s">
        <v>377</v>
      </c>
      <c r="E53" s="17" t="s">
        <v>378</v>
      </c>
      <c r="F53" s="17"/>
      <c r="G53" s="17" t="s">
        <v>379</v>
      </c>
      <c r="H53" s="17" t="s">
        <v>291</v>
      </c>
      <c r="I53" s="17" t="s">
        <v>114</v>
      </c>
      <c r="J53" s="18" t="s">
        <v>100</v>
      </c>
      <c r="K53" s="18" t="s">
        <v>101</v>
      </c>
      <c r="L53" s="18" t="n">
        <v>5</v>
      </c>
      <c r="M53" s="18" t="n">
        <v>6</v>
      </c>
      <c r="N53" s="17" t="str">
        <f aca="false">IF(M53&lt;=4,"R1 Foundation",IF(M53&lt;=8,"R2 Core Clinic",IF(M53&lt;=13,"R3 Revenue &amp; Messaging",IF(M53&lt;=18,"R4 Patient &amp; Platform",IF(M53&lt;=20,"R5 Harden","R6 Launch")))))</f>
        <v>R2 Core Clinic</v>
      </c>
      <c r="O53" s="19" t="n">
        <f aca="false">L53*README!$B$32</f>
        <v>3</v>
      </c>
      <c r="P53" s="17" t="s">
        <v>366</v>
      </c>
      <c r="Q53" s="17" t="s">
        <v>380</v>
      </c>
      <c r="R53" s="17" t="s">
        <v>103</v>
      </c>
      <c r="S53" s="17"/>
    </row>
    <row r="54" customFormat="false" ht="23.85" hidden="false" customHeight="false" outlineLevel="0" collapsed="false">
      <c r="A54" s="11" t="s">
        <v>381</v>
      </c>
      <c r="B54" s="11" t="s">
        <v>361</v>
      </c>
      <c r="C54" s="11" t="s">
        <v>362</v>
      </c>
      <c r="D54" s="11" t="s">
        <v>382</v>
      </c>
      <c r="E54" s="11" t="s">
        <v>383</v>
      </c>
      <c r="F54" s="11" t="s">
        <v>384</v>
      </c>
      <c r="G54" s="11" t="s">
        <v>98</v>
      </c>
      <c r="H54" s="11" t="s">
        <v>99</v>
      </c>
      <c r="I54" s="11" t="s">
        <v>114</v>
      </c>
      <c r="J54" s="15" t="s">
        <v>100</v>
      </c>
      <c r="K54" s="15" t="s">
        <v>101</v>
      </c>
      <c r="L54" s="15" t="n">
        <v>8</v>
      </c>
      <c r="M54" s="15" t="n">
        <v>7</v>
      </c>
      <c r="N54" s="11" t="str">
        <f aca="false">IF(M54&lt;=4,"R1 Foundation",IF(M54&lt;=8,"R2 Core Clinic",IF(M54&lt;=13,"R3 Revenue &amp; Messaging",IF(M54&lt;=18,"R4 Patient &amp; Platform",IF(M54&lt;=20,"R5 Harden","R6 Launch")))))</f>
        <v>R2 Core Clinic</v>
      </c>
      <c r="O54" s="16" t="n">
        <f aca="false">L54*README!$B$32</f>
        <v>4.8</v>
      </c>
      <c r="P54" s="11" t="s">
        <v>385</v>
      </c>
      <c r="Q54" s="11" t="s">
        <v>386</v>
      </c>
      <c r="R54" s="11" t="s">
        <v>103</v>
      </c>
      <c r="S54" s="11"/>
    </row>
    <row r="55" customFormat="false" ht="35.05" hidden="false" customHeight="false" outlineLevel="0" collapsed="false">
      <c r="A55" s="17" t="s">
        <v>387</v>
      </c>
      <c r="B55" s="17" t="s">
        <v>361</v>
      </c>
      <c r="C55" s="17" t="s">
        <v>362</v>
      </c>
      <c r="D55" s="17" t="s">
        <v>388</v>
      </c>
      <c r="E55" s="17" t="s">
        <v>389</v>
      </c>
      <c r="F55" s="17" t="s">
        <v>189</v>
      </c>
      <c r="G55" s="17" t="s">
        <v>98</v>
      </c>
      <c r="H55" s="17" t="s">
        <v>99</v>
      </c>
      <c r="I55" s="17" t="s">
        <v>168</v>
      </c>
      <c r="J55" s="18" t="s">
        <v>100</v>
      </c>
      <c r="K55" s="18" t="s">
        <v>101</v>
      </c>
      <c r="L55" s="18" t="n">
        <v>5</v>
      </c>
      <c r="M55" s="18" t="n">
        <v>6</v>
      </c>
      <c r="N55" s="17" t="str">
        <f aca="false">IF(M55&lt;=4,"R1 Foundation",IF(M55&lt;=8,"R2 Core Clinic",IF(M55&lt;=13,"R3 Revenue &amp; Messaging",IF(M55&lt;=18,"R4 Patient &amp; Platform",IF(M55&lt;=20,"R5 Harden","R6 Launch")))))</f>
        <v>R2 Core Clinic</v>
      </c>
      <c r="O55" s="19" t="n">
        <f aca="false">L55*README!$B$32</f>
        <v>3</v>
      </c>
      <c r="P55" s="17" t="s">
        <v>390</v>
      </c>
      <c r="Q55" s="17" t="s">
        <v>391</v>
      </c>
      <c r="R55" s="17" t="s">
        <v>103</v>
      </c>
      <c r="S55" s="17"/>
    </row>
    <row r="56" customFormat="false" ht="23.85" hidden="false" customHeight="false" outlineLevel="0" collapsed="false">
      <c r="A56" s="11" t="s">
        <v>392</v>
      </c>
      <c r="B56" s="11" t="s">
        <v>361</v>
      </c>
      <c r="C56" s="11" t="s">
        <v>362</v>
      </c>
      <c r="D56" s="11" t="s">
        <v>393</v>
      </c>
      <c r="E56" s="11" t="s">
        <v>394</v>
      </c>
      <c r="F56" s="11"/>
      <c r="G56" s="11" t="s">
        <v>233</v>
      </c>
      <c r="H56" s="11" t="s">
        <v>291</v>
      </c>
      <c r="I56" s="11" t="s">
        <v>168</v>
      </c>
      <c r="J56" s="15" t="s">
        <v>130</v>
      </c>
      <c r="K56" s="15" t="s">
        <v>101</v>
      </c>
      <c r="L56" s="15" t="n">
        <v>8</v>
      </c>
      <c r="M56" s="15" t="n">
        <v>9</v>
      </c>
      <c r="N56" s="11" t="str">
        <f aca="false">IF(M56&lt;=4,"R1 Foundation",IF(M56&lt;=8,"R2 Core Clinic",IF(M56&lt;=13,"R3 Revenue &amp; Messaging",IF(M56&lt;=18,"R4 Patient &amp; Platform",IF(M56&lt;=20,"R5 Harden","R6 Launch")))))</f>
        <v>R3 Revenue &amp; Messaging</v>
      </c>
      <c r="O56" s="16" t="n">
        <f aca="false">L56*README!$B$32</f>
        <v>4.8</v>
      </c>
      <c r="P56" s="11" t="s">
        <v>360</v>
      </c>
      <c r="Q56" s="11" t="s">
        <v>395</v>
      </c>
      <c r="R56" s="11" t="s">
        <v>103</v>
      </c>
      <c r="S56" s="11"/>
    </row>
    <row r="57" customFormat="false" ht="23.85" hidden="false" customHeight="false" outlineLevel="0" collapsed="false">
      <c r="A57" s="17" t="s">
        <v>396</v>
      </c>
      <c r="B57" s="17" t="s">
        <v>361</v>
      </c>
      <c r="C57" s="17" t="s">
        <v>362</v>
      </c>
      <c r="D57" s="17" t="s">
        <v>397</v>
      </c>
      <c r="E57" s="17" t="s">
        <v>398</v>
      </c>
      <c r="F57" s="17" t="s">
        <v>124</v>
      </c>
      <c r="G57" s="17" t="s">
        <v>399</v>
      </c>
      <c r="H57" s="17" t="s">
        <v>99</v>
      </c>
      <c r="I57" s="17" t="s">
        <v>292</v>
      </c>
      <c r="J57" s="18" t="s">
        <v>100</v>
      </c>
      <c r="K57" s="18" t="s">
        <v>101</v>
      </c>
      <c r="L57" s="18" t="n">
        <v>8</v>
      </c>
      <c r="M57" s="18" t="n">
        <v>10</v>
      </c>
      <c r="N57" s="17" t="str">
        <f aca="false">IF(M57&lt;=4,"R1 Foundation",IF(M57&lt;=8,"R2 Core Clinic",IF(M57&lt;=13,"R3 Revenue &amp; Messaging",IF(M57&lt;=18,"R4 Patient &amp; Platform",IF(M57&lt;=20,"R5 Harden","R6 Launch")))))</f>
        <v>R3 Revenue &amp; Messaging</v>
      </c>
      <c r="O57" s="19" t="n">
        <f aca="false">L57*README!$B$32</f>
        <v>4.8</v>
      </c>
      <c r="P57" s="17" t="s">
        <v>400</v>
      </c>
      <c r="Q57" s="17" t="s">
        <v>401</v>
      </c>
      <c r="R57" s="17" t="s">
        <v>103</v>
      </c>
      <c r="S57" s="17"/>
    </row>
    <row r="58" customFormat="false" ht="23.85" hidden="false" customHeight="false" outlineLevel="0" collapsed="false">
      <c r="A58" s="11" t="s">
        <v>402</v>
      </c>
      <c r="B58" s="11" t="s">
        <v>361</v>
      </c>
      <c r="C58" s="11" t="s">
        <v>362</v>
      </c>
      <c r="D58" s="11" t="s">
        <v>403</v>
      </c>
      <c r="E58" s="11" t="s">
        <v>404</v>
      </c>
      <c r="F58" s="11"/>
      <c r="G58" s="11" t="s">
        <v>233</v>
      </c>
      <c r="H58" s="11" t="s">
        <v>291</v>
      </c>
      <c r="I58" s="11" t="s">
        <v>114</v>
      </c>
      <c r="J58" s="15" t="s">
        <v>210</v>
      </c>
      <c r="K58" s="15" t="s">
        <v>211</v>
      </c>
      <c r="L58" s="15" t="n">
        <v>5</v>
      </c>
      <c r="M58" s="15" t="n">
        <v>18</v>
      </c>
      <c r="N58" s="11" t="str">
        <f aca="false">IF(M58&lt;=4,"R1 Foundation",IF(M58&lt;=8,"R2 Core Clinic",IF(M58&lt;=13,"R3 Revenue &amp; Messaging",IF(M58&lt;=18,"R4 Patient &amp; Platform",IF(M58&lt;=20,"R5 Harden","R6 Launch")))))</f>
        <v>R4 Patient &amp; Platform</v>
      </c>
      <c r="O58" s="16" t="n">
        <f aca="false">L58*README!$B$32</f>
        <v>3</v>
      </c>
      <c r="P58" s="11" t="s">
        <v>360</v>
      </c>
      <c r="Q58" s="11" t="s">
        <v>405</v>
      </c>
      <c r="R58" s="11" t="s">
        <v>103</v>
      </c>
      <c r="S58" s="11"/>
    </row>
    <row r="59" customFormat="false" ht="35.05" hidden="false" customHeight="false" outlineLevel="0" collapsed="false">
      <c r="A59" s="17" t="s">
        <v>406</v>
      </c>
      <c r="B59" s="17" t="s">
        <v>361</v>
      </c>
      <c r="C59" s="17" t="s">
        <v>362</v>
      </c>
      <c r="D59" s="17" t="s">
        <v>407</v>
      </c>
      <c r="E59" s="17" t="s">
        <v>408</v>
      </c>
      <c r="F59" s="17" t="s">
        <v>409</v>
      </c>
      <c r="G59" s="17" t="s">
        <v>98</v>
      </c>
      <c r="H59" s="17" t="s">
        <v>99</v>
      </c>
      <c r="I59" s="17" t="s">
        <v>168</v>
      </c>
      <c r="J59" s="18" t="s">
        <v>100</v>
      </c>
      <c r="K59" s="18" t="s">
        <v>101</v>
      </c>
      <c r="L59" s="18" t="n">
        <v>5</v>
      </c>
      <c r="M59" s="18" t="n">
        <v>9</v>
      </c>
      <c r="N59" s="17" t="str">
        <f aca="false">IF(M59&lt;=4,"R1 Foundation",IF(M59&lt;=8,"R2 Core Clinic",IF(M59&lt;=13,"R3 Revenue &amp; Messaging",IF(M59&lt;=18,"R4 Patient &amp; Platform",IF(M59&lt;=20,"R5 Harden","R6 Launch")))))</f>
        <v>R3 Revenue &amp; Messaging</v>
      </c>
      <c r="O59" s="19" t="n">
        <f aca="false">L59*README!$B$32</f>
        <v>3</v>
      </c>
      <c r="P59" s="17" t="s">
        <v>410</v>
      </c>
      <c r="Q59" s="17" t="s">
        <v>411</v>
      </c>
      <c r="R59" s="17" t="s">
        <v>103</v>
      </c>
      <c r="S59" s="17"/>
    </row>
    <row r="60" customFormat="false" ht="23.85" hidden="false" customHeight="false" outlineLevel="0" collapsed="false">
      <c r="A60" s="11" t="s">
        <v>412</v>
      </c>
      <c r="B60" s="11" t="s">
        <v>361</v>
      </c>
      <c r="C60" s="11" t="s">
        <v>362</v>
      </c>
      <c r="D60" s="11" t="s">
        <v>413</v>
      </c>
      <c r="E60" s="11" t="s">
        <v>414</v>
      </c>
      <c r="F60" s="11"/>
      <c r="G60" s="11" t="s">
        <v>233</v>
      </c>
      <c r="H60" s="11" t="s">
        <v>291</v>
      </c>
      <c r="I60" s="11" t="s">
        <v>168</v>
      </c>
      <c r="J60" s="15" t="s">
        <v>100</v>
      </c>
      <c r="K60" s="15" t="s">
        <v>101</v>
      </c>
      <c r="L60" s="15" t="n">
        <v>5</v>
      </c>
      <c r="M60" s="15" t="n">
        <v>9</v>
      </c>
      <c r="N60" s="11" t="str">
        <f aca="false">IF(M60&lt;=4,"R1 Foundation",IF(M60&lt;=8,"R2 Core Clinic",IF(M60&lt;=13,"R3 Revenue &amp; Messaging",IF(M60&lt;=18,"R4 Patient &amp; Platform",IF(M60&lt;=20,"R5 Harden","R6 Launch")))))</f>
        <v>R3 Revenue &amp; Messaging</v>
      </c>
      <c r="O60" s="16" t="n">
        <f aca="false">L60*README!$B$32</f>
        <v>3</v>
      </c>
      <c r="P60" s="11" t="s">
        <v>415</v>
      </c>
      <c r="Q60" s="11" t="s">
        <v>416</v>
      </c>
      <c r="R60" s="11" t="s">
        <v>103</v>
      </c>
      <c r="S60" s="11"/>
    </row>
    <row r="61" customFormat="false" ht="35.05" hidden="false" customHeight="false" outlineLevel="0" collapsed="false">
      <c r="A61" s="17" t="s">
        <v>417</v>
      </c>
      <c r="B61" s="17" t="s">
        <v>418</v>
      </c>
      <c r="C61" s="17" t="s">
        <v>419</v>
      </c>
      <c r="D61" s="17" t="s">
        <v>420</v>
      </c>
      <c r="E61" s="17" t="s">
        <v>421</v>
      </c>
      <c r="F61" s="17" t="s">
        <v>422</v>
      </c>
      <c r="G61" s="17" t="s">
        <v>233</v>
      </c>
      <c r="H61" s="17" t="s">
        <v>291</v>
      </c>
      <c r="I61" s="17" t="s">
        <v>292</v>
      </c>
      <c r="J61" s="18" t="s">
        <v>100</v>
      </c>
      <c r="K61" s="18" t="s">
        <v>101</v>
      </c>
      <c r="L61" s="18" t="n">
        <v>13</v>
      </c>
      <c r="M61" s="18" t="n">
        <v>7</v>
      </c>
      <c r="N61" s="17" t="str">
        <f aca="false">IF(M61&lt;=4,"R1 Foundation",IF(M61&lt;=8,"R2 Core Clinic",IF(M61&lt;=13,"R3 Revenue &amp; Messaging",IF(M61&lt;=18,"R4 Patient &amp; Platform",IF(M61&lt;=20,"R5 Harden","R6 Launch")))))</f>
        <v>R2 Core Clinic</v>
      </c>
      <c r="O61" s="19" t="n">
        <f aca="false">L61*README!$B$32</f>
        <v>7.8</v>
      </c>
      <c r="P61" s="17" t="s">
        <v>423</v>
      </c>
      <c r="Q61" s="17" t="s">
        <v>424</v>
      </c>
      <c r="R61" s="17" t="s">
        <v>103</v>
      </c>
      <c r="S61" s="17"/>
    </row>
    <row r="62" customFormat="false" ht="23.85" hidden="false" customHeight="false" outlineLevel="0" collapsed="false">
      <c r="A62" s="11" t="s">
        <v>425</v>
      </c>
      <c r="B62" s="11" t="s">
        <v>418</v>
      </c>
      <c r="C62" s="11" t="s">
        <v>419</v>
      </c>
      <c r="D62" s="11" t="s">
        <v>426</v>
      </c>
      <c r="E62" s="11" t="s">
        <v>427</v>
      </c>
      <c r="F62" s="11" t="s">
        <v>428</v>
      </c>
      <c r="G62" s="11" t="s">
        <v>233</v>
      </c>
      <c r="H62" s="11" t="s">
        <v>291</v>
      </c>
      <c r="I62" s="11" t="s">
        <v>292</v>
      </c>
      <c r="J62" s="15" t="s">
        <v>100</v>
      </c>
      <c r="K62" s="15" t="s">
        <v>101</v>
      </c>
      <c r="L62" s="15" t="n">
        <v>8</v>
      </c>
      <c r="M62" s="15" t="n">
        <v>8</v>
      </c>
      <c r="N62" s="11" t="str">
        <f aca="false">IF(M62&lt;=4,"R1 Foundation",IF(M62&lt;=8,"R2 Core Clinic",IF(M62&lt;=13,"R3 Revenue &amp; Messaging",IF(M62&lt;=18,"R4 Patient &amp; Platform",IF(M62&lt;=20,"R5 Harden","R6 Launch")))))</f>
        <v>R2 Core Clinic</v>
      </c>
      <c r="O62" s="16" t="n">
        <f aca="false">L62*README!$B$32</f>
        <v>4.8</v>
      </c>
      <c r="P62" s="11" t="s">
        <v>152</v>
      </c>
      <c r="Q62" s="11" t="s">
        <v>429</v>
      </c>
      <c r="R62" s="11" t="s">
        <v>103</v>
      </c>
      <c r="S62" s="11"/>
    </row>
    <row r="63" customFormat="false" ht="23.85" hidden="false" customHeight="false" outlineLevel="0" collapsed="false">
      <c r="A63" s="17" t="s">
        <v>430</v>
      </c>
      <c r="B63" s="17" t="s">
        <v>418</v>
      </c>
      <c r="C63" s="17" t="s">
        <v>419</v>
      </c>
      <c r="D63" s="17" t="s">
        <v>431</v>
      </c>
      <c r="E63" s="17" t="s">
        <v>432</v>
      </c>
      <c r="F63" s="17" t="s">
        <v>433</v>
      </c>
      <c r="G63" s="17" t="s">
        <v>233</v>
      </c>
      <c r="H63" s="17" t="s">
        <v>291</v>
      </c>
      <c r="I63" s="17" t="s">
        <v>292</v>
      </c>
      <c r="J63" s="18" t="s">
        <v>100</v>
      </c>
      <c r="K63" s="18" t="s">
        <v>101</v>
      </c>
      <c r="L63" s="18" t="n">
        <v>5</v>
      </c>
      <c r="M63" s="18" t="n">
        <v>10</v>
      </c>
      <c r="N63" s="17" t="str">
        <f aca="false">IF(M63&lt;=4,"R1 Foundation",IF(M63&lt;=8,"R2 Core Clinic",IF(M63&lt;=13,"R3 Revenue &amp; Messaging",IF(M63&lt;=18,"R4 Patient &amp; Platform",IF(M63&lt;=20,"R5 Harden","R6 Launch")))))</f>
        <v>R3 Revenue &amp; Messaging</v>
      </c>
      <c r="O63" s="19" t="n">
        <f aca="false">L63*README!$B$32</f>
        <v>3</v>
      </c>
      <c r="P63" s="17" t="s">
        <v>417</v>
      </c>
      <c r="Q63" s="17" t="s">
        <v>434</v>
      </c>
      <c r="R63" s="17" t="s">
        <v>103</v>
      </c>
      <c r="S63" s="17"/>
    </row>
    <row r="64" customFormat="false" ht="23.85" hidden="false" customHeight="false" outlineLevel="0" collapsed="false">
      <c r="A64" s="11" t="s">
        <v>435</v>
      </c>
      <c r="B64" s="11" t="s">
        <v>418</v>
      </c>
      <c r="C64" s="11" t="s">
        <v>419</v>
      </c>
      <c r="D64" s="11" t="s">
        <v>436</v>
      </c>
      <c r="E64" s="11" t="s">
        <v>437</v>
      </c>
      <c r="F64" s="11" t="s">
        <v>438</v>
      </c>
      <c r="G64" s="11" t="s">
        <v>233</v>
      </c>
      <c r="H64" s="11" t="s">
        <v>291</v>
      </c>
      <c r="I64" s="11" t="s">
        <v>168</v>
      </c>
      <c r="J64" s="15" t="s">
        <v>100</v>
      </c>
      <c r="K64" s="15" t="s">
        <v>101</v>
      </c>
      <c r="L64" s="15" t="n">
        <v>3</v>
      </c>
      <c r="M64" s="15" t="n">
        <v>11</v>
      </c>
      <c r="N64" s="11" t="str">
        <f aca="false">IF(M64&lt;=4,"R1 Foundation",IF(M64&lt;=8,"R2 Core Clinic",IF(M64&lt;=13,"R3 Revenue &amp; Messaging",IF(M64&lt;=18,"R4 Patient &amp; Platform",IF(M64&lt;=20,"R5 Harden","R6 Launch")))))</f>
        <v>R3 Revenue &amp; Messaging</v>
      </c>
      <c r="O64" s="16" t="n">
        <f aca="false">L64*README!$B$32</f>
        <v>1.8</v>
      </c>
      <c r="P64" s="11" t="s">
        <v>439</v>
      </c>
      <c r="Q64" s="11" t="s">
        <v>440</v>
      </c>
      <c r="R64" s="11" t="s">
        <v>103</v>
      </c>
      <c r="S64" s="11"/>
    </row>
    <row r="65" customFormat="false" ht="23.85" hidden="false" customHeight="false" outlineLevel="0" collapsed="false">
      <c r="A65" s="17" t="s">
        <v>441</v>
      </c>
      <c r="B65" s="17" t="s">
        <v>418</v>
      </c>
      <c r="C65" s="17" t="s">
        <v>419</v>
      </c>
      <c r="D65" s="17" t="s">
        <v>442</v>
      </c>
      <c r="E65" s="17" t="s">
        <v>443</v>
      </c>
      <c r="F65" s="17" t="s">
        <v>444</v>
      </c>
      <c r="G65" s="17" t="s">
        <v>233</v>
      </c>
      <c r="H65" s="17" t="s">
        <v>291</v>
      </c>
      <c r="I65" s="17" t="s">
        <v>292</v>
      </c>
      <c r="J65" s="18" t="s">
        <v>100</v>
      </c>
      <c r="K65" s="18" t="s">
        <v>101</v>
      </c>
      <c r="L65" s="18" t="n">
        <v>8</v>
      </c>
      <c r="M65" s="18" t="n">
        <v>8</v>
      </c>
      <c r="N65" s="17" t="str">
        <f aca="false">IF(M65&lt;=4,"R1 Foundation",IF(M65&lt;=8,"R2 Core Clinic",IF(M65&lt;=13,"R3 Revenue &amp; Messaging",IF(M65&lt;=18,"R4 Patient &amp; Platform",IF(M65&lt;=20,"R5 Harden","R6 Launch")))))</f>
        <v>R2 Core Clinic</v>
      </c>
      <c r="O65" s="19" t="n">
        <f aca="false">L65*README!$B$32</f>
        <v>4.8</v>
      </c>
      <c r="P65" s="17" t="s">
        <v>417</v>
      </c>
      <c r="Q65" s="17" t="s">
        <v>445</v>
      </c>
      <c r="R65" s="17" t="s">
        <v>103</v>
      </c>
      <c r="S65" s="17"/>
    </row>
    <row r="66" customFormat="false" ht="23.85" hidden="false" customHeight="false" outlineLevel="0" collapsed="false">
      <c r="A66" s="11" t="s">
        <v>446</v>
      </c>
      <c r="B66" s="11" t="s">
        <v>418</v>
      </c>
      <c r="C66" s="11" t="s">
        <v>419</v>
      </c>
      <c r="D66" s="11" t="s">
        <v>447</v>
      </c>
      <c r="E66" s="11" t="s">
        <v>448</v>
      </c>
      <c r="F66" s="11" t="s">
        <v>449</v>
      </c>
      <c r="G66" s="11" t="s">
        <v>233</v>
      </c>
      <c r="H66" s="11" t="s">
        <v>291</v>
      </c>
      <c r="I66" s="11" t="s">
        <v>292</v>
      </c>
      <c r="J66" s="15" t="s">
        <v>210</v>
      </c>
      <c r="K66" s="15" t="s">
        <v>211</v>
      </c>
      <c r="L66" s="15" t="n">
        <v>8</v>
      </c>
      <c r="M66" s="15" t="n">
        <v>19</v>
      </c>
      <c r="N66" s="11" t="str">
        <f aca="false">IF(M66&lt;=4,"R1 Foundation",IF(M66&lt;=8,"R2 Core Clinic",IF(M66&lt;=13,"R3 Revenue &amp; Messaging",IF(M66&lt;=18,"R4 Patient &amp; Platform",IF(M66&lt;=20,"R5 Harden","R6 Launch")))))</f>
        <v>R5 Harden</v>
      </c>
      <c r="O66" s="16" t="n">
        <f aca="false">L66*README!$B$32</f>
        <v>4.8</v>
      </c>
      <c r="P66" s="11" t="s">
        <v>450</v>
      </c>
      <c r="Q66" s="11" t="s">
        <v>451</v>
      </c>
      <c r="R66" s="11" t="s">
        <v>103</v>
      </c>
      <c r="S66" s="11"/>
    </row>
    <row r="67" customFormat="false" ht="23.85" hidden="false" customHeight="false" outlineLevel="0" collapsed="false">
      <c r="A67" s="17" t="s">
        <v>452</v>
      </c>
      <c r="B67" s="17" t="s">
        <v>418</v>
      </c>
      <c r="C67" s="17" t="s">
        <v>419</v>
      </c>
      <c r="D67" s="17" t="s">
        <v>453</v>
      </c>
      <c r="E67" s="17" t="s">
        <v>454</v>
      </c>
      <c r="F67" s="17" t="s">
        <v>21</v>
      </c>
      <c r="G67" s="17" t="s">
        <v>233</v>
      </c>
      <c r="H67" s="17" t="s">
        <v>291</v>
      </c>
      <c r="I67" s="17" t="s">
        <v>292</v>
      </c>
      <c r="J67" s="18" t="s">
        <v>130</v>
      </c>
      <c r="K67" s="18" t="s">
        <v>101</v>
      </c>
      <c r="L67" s="18" t="n">
        <v>5</v>
      </c>
      <c r="M67" s="18" t="n">
        <v>17</v>
      </c>
      <c r="N67" s="17" t="str">
        <f aca="false">IF(M67&lt;=4,"R1 Foundation",IF(M67&lt;=8,"R2 Core Clinic",IF(M67&lt;=13,"R3 Revenue &amp; Messaging",IF(M67&lt;=18,"R4 Patient &amp; Platform",IF(M67&lt;=20,"R5 Harden","R6 Launch")))))</f>
        <v>R4 Patient &amp; Platform</v>
      </c>
      <c r="O67" s="19" t="n">
        <f aca="false">L67*README!$B$32</f>
        <v>3</v>
      </c>
      <c r="P67" s="17" t="s">
        <v>450</v>
      </c>
      <c r="Q67" s="17" t="s">
        <v>455</v>
      </c>
      <c r="R67" s="17" t="s">
        <v>103</v>
      </c>
      <c r="S67" s="17"/>
    </row>
    <row r="68" customFormat="false" ht="23.85" hidden="false" customHeight="false" outlineLevel="0" collapsed="false">
      <c r="A68" s="11" t="s">
        <v>456</v>
      </c>
      <c r="B68" s="11" t="s">
        <v>418</v>
      </c>
      <c r="C68" s="11" t="s">
        <v>419</v>
      </c>
      <c r="D68" s="11" t="s">
        <v>457</v>
      </c>
      <c r="E68" s="11" t="s">
        <v>458</v>
      </c>
      <c r="F68" s="11" t="s">
        <v>459</v>
      </c>
      <c r="G68" s="11" t="s">
        <v>233</v>
      </c>
      <c r="H68" s="11" t="s">
        <v>291</v>
      </c>
      <c r="I68" s="11" t="s">
        <v>292</v>
      </c>
      <c r="J68" s="15" t="s">
        <v>130</v>
      </c>
      <c r="K68" s="15" t="s">
        <v>460</v>
      </c>
      <c r="L68" s="15" t="n">
        <v>8</v>
      </c>
      <c r="M68" s="15" t="n">
        <v>20</v>
      </c>
      <c r="N68" s="11" t="str">
        <f aca="false">IF(M68&lt;=4,"R1 Foundation",IF(M68&lt;=8,"R2 Core Clinic",IF(M68&lt;=13,"R3 Revenue &amp; Messaging",IF(M68&lt;=18,"R4 Patient &amp; Platform",IF(M68&lt;=20,"R5 Harden","R6 Launch")))))</f>
        <v>R5 Harden</v>
      </c>
      <c r="O68" s="16" t="n">
        <f aca="false">L68*README!$B$32</f>
        <v>4.8</v>
      </c>
      <c r="P68" s="11" t="s">
        <v>461</v>
      </c>
      <c r="Q68" s="11" t="s">
        <v>462</v>
      </c>
      <c r="R68" s="11" t="s">
        <v>103</v>
      </c>
      <c r="S68" s="11"/>
    </row>
    <row r="69" customFormat="false" ht="15" hidden="false" customHeight="false" outlineLevel="0" collapsed="false">
      <c r="A69" s="17" t="s">
        <v>463</v>
      </c>
      <c r="B69" s="17" t="s">
        <v>418</v>
      </c>
      <c r="C69" s="17" t="s">
        <v>419</v>
      </c>
      <c r="D69" s="17" t="s">
        <v>464</v>
      </c>
      <c r="E69" s="17" t="s">
        <v>465</v>
      </c>
      <c r="F69" s="17" t="s">
        <v>466</v>
      </c>
      <c r="G69" s="17" t="s">
        <v>233</v>
      </c>
      <c r="H69" s="17" t="s">
        <v>291</v>
      </c>
      <c r="I69" s="17" t="s">
        <v>292</v>
      </c>
      <c r="J69" s="18" t="s">
        <v>100</v>
      </c>
      <c r="K69" s="18" t="s">
        <v>101</v>
      </c>
      <c r="L69" s="18" t="n">
        <v>8</v>
      </c>
      <c r="M69" s="18" t="n">
        <v>15</v>
      </c>
      <c r="N69" s="17" t="str">
        <f aca="false">IF(M69&lt;=4,"R1 Foundation",IF(M69&lt;=8,"R2 Core Clinic",IF(M69&lt;=13,"R3 Revenue &amp; Messaging",IF(M69&lt;=18,"R4 Patient &amp; Platform",IF(M69&lt;=20,"R5 Harden","R6 Launch")))))</f>
        <v>R4 Patient &amp; Platform</v>
      </c>
      <c r="O69" s="19" t="n">
        <f aca="false">L69*README!$B$32</f>
        <v>4.8</v>
      </c>
      <c r="P69" s="17" t="s">
        <v>467</v>
      </c>
      <c r="Q69" s="17" t="s">
        <v>468</v>
      </c>
      <c r="R69" s="17" t="s">
        <v>103</v>
      </c>
      <c r="S69" s="17"/>
    </row>
    <row r="70" customFormat="false" ht="23.85" hidden="false" customHeight="false" outlineLevel="0" collapsed="false">
      <c r="A70" s="11" t="s">
        <v>469</v>
      </c>
      <c r="B70" s="11" t="s">
        <v>418</v>
      </c>
      <c r="C70" s="11" t="s">
        <v>419</v>
      </c>
      <c r="D70" s="11" t="s">
        <v>470</v>
      </c>
      <c r="E70" s="11" t="s">
        <v>471</v>
      </c>
      <c r="F70" s="11" t="s">
        <v>472</v>
      </c>
      <c r="G70" s="11" t="s">
        <v>233</v>
      </c>
      <c r="H70" s="11" t="s">
        <v>291</v>
      </c>
      <c r="I70" s="11" t="s">
        <v>168</v>
      </c>
      <c r="J70" s="15" t="s">
        <v>130</v>
      </c>
      <c r="K70" s="15" t="s">
        <v>101</v>
      </c>
      <c r="L70" s="15" t="n">
        <v>3</v>
      </c>
      <c r="M70" s="15" t="n">
        <v>12</v>
      </c>
      <c r="N70" s="11" t="str">
        <f aca="false">IF(M70&lt;=4,"R1 Foundation",IF(M70&lt;=8,"R2 Core Clinic",IF(M70&lt;=13,"R3 Revenue &amp; Messaging",IF(M70&lt;=18,"R4 Patient &amp; Platform",IF(M70&lt;=20,"R5 Harden","R6 Launch")))))</f>
        <v>R3 Revenue &amp; Messaging</v>
      </c>
      <c r="O70" s="16" t="n">
        <f aca="false">L70*README!$B$32</f>
        <v>1.8</v>
      </c>
      <c r="P70" s="11" t="s">
        <v>417</v>
      </c>
      <c r="Q70" s="11" t="s">
        <v>473</v>
      </c>
      <c r="R70" s="11" t="s">
        <v>103</v>
      </c>
      <c r="S70" s="11"/>
    </row>
    <row r="71" customFormat="false" ht="23.85" hidden="false" customHeight="false" outlineLevel="0" collapsed="false">
      <c r="A71" s="17" t="s">
        <v>474</v>
      </c>
      <c r="B71" s="17" t="s">
        <v>418</v>
      </c>
      <c r="C71" s="17" t="s">
        <v>419</v>
      </c>
      <c r="D71" s="17" t="s">
        <v>475</v>
      </c>
      <c r="E71" s="17" t="s">
        <v>476</v>
      </c>
      <c r="F71" s="17" t="s">
        <v>477</v>
      </c>
      <c r="G71" s="17" t="s">
        <v>233</v>
      </c>
      <c r="H71" s="17" t="s">
        <v>291</v>
      </c>
      <c r="I71" s="17" t="s">
        <v>114</v>
      </c>
      <c r="J71" s="18" t="s">
        <v>100</v>
      </c>
      <c r="K71" s="18" t="s">
        <v>101</v>
      </c>
      <c r="L71" s="18" t="n">
        <v>5</v>
      </c>
      <c r="M71" s="18" t="n">
        <v>11</v>
      </c>
      <c r="N71" s="17" t="str">
        <f aca="false">IF(M71&lt;=4,"R1 Foundation",IF(M71&lt;=8,"R2 Core Clinic",IF(M71&lt;=13,"R3 Revenue &amp; Messaging",IF(M71&lt;=18,"R4 Patient &amp; Platform",IF(M71&lt;=20,"R5 Harden","R6 Launch")))))</f>
        <v>R3 Revenue &amp; Messaging</v>
      </c>
      <c r="O71" s="19" t="n">
        <f aca="false">L71*README!$B$32</f>
        <v>3</v>
      </c>
      <c r="P71" s="17" t="s">
        <v>417</v>
      </c>
      <c r="Q71" s="17" t="s">
        <v>478</v>
      </c>
      <c r="R71" s="17" t="s">
        <v>103</v>
      </c>
      <c r="S71" s="17"/>
    </row>
    <row r="72" customFormat="false" ht="23.85" hidden="false" customHeight="false" outlineLevel="0" collapsed="false">
      <c r="A72" s="11" t="s">
        <v>479</v>
      </c>
      <c r="B72" s="11" t="s">
        <v>480</v>
      </c>
      <c r="C72" s="11" t="s">
        <v>481</v>
      </c>
      <c r="D72" s="11" t="s">
        <v>482</v>
      </c>
      <c r="E72" s="11" t="s">
        <v>483</v>
      </c>
      <c r="F72" s="11" t="s">
        <v>484</v>
      </c>
      <c r="G72" s="11" t="s">
        <v>485</v>
      </c>
      <c r="H72" s="11" t="s">
        <v>291</v>
      </c>
      <c r="I72" s="11" t="s">
        <v>292</v>
      </c>
      <c r="J72" s="15" t="s">
        <v>100</v>
      </c>
      <c r="K72" s="15" t="s">
        <v>101</v>
      </c>
      <c r="L72" s="15" t="n">
        <v>8</v>
      </c>
      <c r="M72" s="15" t="n">
        <v>6</v>
      </c>
      <c r="N72" s="11" t="str">
        <f aca="false">IF(M72&lt;=4,"R1 Foundation",IF(M72&lt;=8,"R2 Core Clinic",IF(M72&lt;=13,"R3 Revenue &amp; Messaging",IF(M72&lt;=18,"R4 Patient &amp; Platform",IF(M72&lt;=20,"R5 Harden","R6 Launch")))))</f>
        <v>R2 Core Clinic</v>
      </c>
      <c r="O72" s="16" t="n">
        <f aca="false">L72*README!$B$32</f>
        <v>4.8</v>
      </c>
      <c r="P72" s="11" t="s">
        <v>486</v>
      </c>
      <c r="Q72" s="11" t="s">
        <v>487</v>
      </c>
      <c r="R72" s="11" t="s">
        <v>103</v>
      </c>
      <c r="S72" s="11"/>
    </row>
    <row r="73" customFormat="false" ht="23.85" hidden="false" customHeight="false" outlineLevel="0" collapsed="false">
      <c r="A73" s="17" t="s">
        <v>488</v>
      </c>
      <c r="B73" s="17" t="s">
        <v>480</v>
      </c>
      <c r="C73" s="17" t="s">
        <v>481</v>
      </c>
      <c r="D73" s="17" t="s">
        <v>489</v>
      </c>
      <c r="E73" s="17" t="s">
        <v>490</v>
      </c>
      <c r="F73" s="17"/>
      <c r="G73" s="17" t="s">
        <v>284</v>
      </c>
      <c r="H73" s="17" t="s">
        <v>291</v>
      </c>
      <c r="I73" s="17" t="s">
        <v>114</v>
      </c>
      <c r="J73" s="18" t="s">
        <v>100</v>
      </c>
      <c r="K73" s="18" t="s">
        <v>101</v>
      </c>
      <c r="L73" s="18" t="n">
        <v>8</v>
      </c>
      <c r="M73" s="18" t="n">
        <v>11</v>
      </c>
      <c r="N73" s="17" t="str">
        <f aca="false">IF(M73&lt;=4,"R1 Foundation",IF(M73&lt;=8,"R2 Core Clinic",IF(M73&lt;=13,"R3 Revenue &amp; Messaging",IF(M73&lt;=18,"R4 Patient &amp; Platform",IF(M73&lt;=20,"R5 Harden","R6 Launch")))))</f>
        <v>R3 Revenue &amp; Messaging</v>
      </c>
      <c r="O73" s="19" t="n">
        <f aca="false">L73*README!$B$32</f>
        <v>4.8</v>
      </c>
      <c r="P73" s="17" t="s">
        <v>479</v>
      </c>
      <c r="Q73" s="17" t="s">
        <v>491</v>
      </c>
      <c r="R73" s="17" t="s">
        <v>103</v>
      </c>
      <c r="S73" s="17"/>
    </row>
    <row r="74" customFormat="false" ht="23.85" hidden="false" customHeight="false" outlineLevel="0" collapsed="false">
      <c r="A74" s="11" t="s">
        <v>492</v>
      </c>
      <c r="B74" s="11" t="s">
        <v>480</v>
      </c>
      <c r="C74" s="11" t="s">
        <v>481</v>
      </c>
      <c r="D74" s="11" t="s">
        <v>493</v>
      </c>
      <c r="E74" s="11" t="s">
        <v>494</v>
      </c>
      <c r="F74" s="11"/>
      <c r="G74" s="11" t="s">
        <v>495</v>
      </c>
      <c r="H74" s="11" t="s">
        <v>291</v>
      </c>
      <c r="I74" s="11" t="s">
        <v>292</v>
      </c>
      <c r="J74" s="15" t="s">
        <v>100</v>
      </c>
      <c r="K74" s="15" t="s">
        <v>101</v>
      </c>
      <c r="L74" s="15" t="n">
        <v>5</v>
      </c>
      <c r="M74" s="15" t="n">
        <v>7</v>
      </c>
      <c r="N74" s="11" t="str">
        <f aca="false">IF(M74&lt;=4,"R1 Foundation",IF(M74&lt;=8,"R2 Core Clinic",IF(M74&lt;=13,"R3 Revenue &amp; Messaging",IF(M74&lt;=18,"R4 Patient &amp; Platform",IF(M74&lt;=20,"R5 Harden","R6 Launch")))))</f>
        <v>R2 Core Clinic</v>
      </c>
      <c r="O74" s="16" t="n">
        <f aca="false">L74*README!$B$32</f>
        <v>3</v>
      </c>
      <c r="P74" s="11" t="s">
        <v>479</v>
      </c>
      <c r="Q74" s="11" t="s">
        <v>496</v>
      </c>
      <c r="R74" s="11" t="s">
        <v>103</v>
      </c>
      <c r="S74" s="11"/>
    </row>
    <row r="75" customFormat="false" ht="23.85" hidden="false" customHeight="false" outlineLevel="0" collapsed="false">
      <c r="A75" s="17" t="s">
        <v>497</v>
      </c>
      <c r="B75" s="17" t="s">
        <v>480</v>
      </c>
      <c r="C75" s="17" t="s">
        <v>481</v>
      </c>
      <c r="D75" s="17" t="s">
        <v>498</v>
      </c>
      <c r="E75" s="17" t="s">
        <v>499</v>
      </c>
      <c r="F75" s="17" t="s">
        <v>500</v>
      </c>
      <c r="G75" s="17" t="s">
        <v>501</v>
      </c>
      <c r="H75" s="17" t="s">
        <v>291</v>
      </c>
      <c r="I75" s="17" t="s">
        <v>168</v>
      </c>
      <c r="J75" s="18" t="s">
        <v>100</v>
      </c>
      <c r="K75" s="18" t="s">
        <v>101</v>
      </c>
      <c r="L75" s="18" t="n">
        <v>8</v>
      </c>
      <c r="M75" s="18" t="n">
        <v>9</v>
      </c>
      <c r="N75" s="17" t="str">
        <f aca="false">IF(M75&lt;=4,"R1 Foundation",IF(M75&lt;=8,"R2 Core Clinic",IF(M75&lt;=13,"R3 Revenue &amp; Messaging",IF(M75&lt;=18,"R4 Patient &amp; Platform",IF(M75&lt;=20,"R5 Harden","R6 Launch")))))</f>
        <v>R3 Revenue &amp; Messaging</v>
      </c>
      <c r="O75" s="19" t="n">
        <f aca="false">L75*README!$B$32</f>
        <v>4.8</v>
      </c>
      <c r="P75" s="17" t="s">
        <v>502</v>
      </c>
      <c r="Q75" s="17" t="s">
        <v>503</v>
      </c>
      <c r="R75" s="17" t="s">
        <v>103</v>
      </c>
      <c r="S75" s="17"/>
    </row>
    <row r="76" customFormat="false" ht="23.85" hidden="false" customHeight="false" outlineLevel="0" collapsed="false">
      <c r="A76" s="11" t="s">
        <v>504</v>
      </c>
      <c r="B76" s="11" t="s">
        <v>480</v>
      </c>
      <c r="C76" s="11" t="s">
        <v>481</v>
      </c>
      <c r="D76" s="11" t="s">
        <v>505</v>
      </c>
      <c r="E76" s="11" t="s">
        <v>506</v>
      </c>
      <c r="F76" s="11" t="s">
        <v>507</v>
      </c>
      <c r="G76" s="11" t="s">
        <v>302</v>
      </c>
      <c r="H76" s="11" t="s">
        <v>291</v>
      </c>
      <c r="I76" s="11" t="s">
        <v>292</v>
      </c>
      <c r="J76" s="15" t="s">
        <v>100</v>
      </c>
      <c r="K76" s="15" t="s">
        <v>101</v>
      </c>
      <c r="L76" s="15" t="n">
        <v>5</v>
      </c>
      <c r="M76" s="15" t="n">
        <v>12</v>
      </c>
      <c r="N76" s="11" t="str">
        <f aca="false">IF(M76&lt;=4,"R1 Foundation",IF(M76&lt;=8,"R2 Core Clinic",IF(M76&lt;=13,"R3 Revenue &amp; Messaging",IF(M76&lt;=18,"R4 Patient &amp; Platform",IF(M76&lt;=20,"R5 Harden","R6 Launch")))))</f>
        <v>R3 Revenue &amp; Messaging</v>
      </c>
      <c r="O76" s="16" t="n">
        <f aca="false">L76*README!$B$32</f>
        <v>3</v>
      </c>
      <c r="P76" s="11" t="s">
        <v>508</v>
      </c>
      <c r="Q76" s="11" t="s">
        <v>509</v>
      </c>
      <c r="R76" s="11" t="s">
        <v>103</v>
      </c>
      <c r="S76" s="11"/>
    </row>
    <row r="77" customFormat="false" ht="23.85" hidden="false" customHeight="false" outlineLevel="0" collapsed="false">
      <c r="A77" s="17" t="s">
        <v>510</v>
      </c>
      <c r="B77" s="17" t="s">
        <v>480</v>
      </c>
      <c r="C77" s="17" t="s">
        <v>481</v>
      </c>
      <c r="D77" s="17" t="s">
        <v>511</v>
      </c>
      <c r="E77" s="17" t="s">
        <v>512</v>
      </c>
      <c r="F77" s="17" t="s">
        <v>513</v>
      </c>
      <c r="G77" s="17" t="s">
        <v>514</v>
      </c>
      <c r="H77" s="17" t="s">
        <v>99</v>
      </c>
      <c r="I77" s="17" t="s">
        <v>114</v>
      </c>
      <c r="J77" s="18" t="s">
        <v>100</v>
      </c>
      <c r="K77" s="18" t="s">
        <v>101</v>
      </c>
      <c r="L77" s="18" t="n">
        <v>5</v>
      </c>
      <c r="M77" s="18" t="n">
        <v>12</v>
      </c>
      <c r="N77" s="17" t="str">
        <f aca="false">IF(M77&lt;=4,"R1 Foundation",IF(M77&lt;=8,"R2 Core Clinic",IF(M77&lt;=13,"R3 Revenue &amp; Messaging",IF(M77&lt;=18,"R4 Patient &amp; Platform",IF(M77&lt;=20,"R5 Harden","R6 Launch")))))</f>
        <v>R3 Revenue &amp; Messaging</v>
      </c>
      <c r="O77" s="19" t="n">
        <f aca="false">L77*README!$B$32</f>
        <v>3</v>
      </c>
      <c r="P77" s="17" t="s">
        <v>515</v>
      </c>
      <c r="Q77" s="17" t="s">
        <v>516</v>
      </c>
      <c r="R77" s="17" t="s">
        <v>103</v>
      </c>
      <c r="S77" s="17"/>
    </row>
    <row r="78" customFormat="false" ht="23.85" hidden="false" customHeight="false" outlineLevel="0" collapsed="false">
      <c r="A78" s="11" t="s">
        <v>517</v>
      </c>
      <c r="B78" s="11" t="s">
        <v>480</v>
      </c>
      <c r="C78" s="11" t="s">
        <v>481</v>
      </c>
      <c r="D78" s="11" t="s">
        <v>518</v>
      </c>
      <c r="E78" s="11" t="s">
        <v>519</v>
      </c>
      <c r="F78" s="11" t="s">
        <v>500</v>
      </c>
      <c r="G78" s="11" t="s">
        <v>374</v>
      </c>
      <c r="H78" s="11" t="s">
        <v>291</v>
      </c>
      <c r="I78" s="11" t="s">
        <v>292</v>
      </c>
      <c r="J78" s="15" t="s">
        <v>100</v>
      </c>
      <c r="K78" s="15" t="s">
        <v>101</v>
      </c>
      <c r="L78" s="15" t="n">
        <v>5</v>
      </c>
      <c r="M78" s="15" t="n">
        <v>12</v>
      </c>
      <c r="N78" s="11" t="str">
        <f aca="false">IF(M78&lt;=4,"R1 Foundation",IF(M78&lt;=8,"R2 Core Clinic",IF(M78&lt;=13,"R3 Revenue &amp; Messaging",IF(M78&lt;=18,"R4 Patient &amp; Platform",IF(M78&lt;=20,"R5 Harden","R6 Launch")))))</f>
        <v>R3 Revenue &amp; Messaging</v>
      </c>
      <c r="O78" s="16" t="n">
        <f aca="false">L78*README!$B$32</f>
        <v>3</v>
      </c>
      <c r="P78" s="11" t="s">
        <v>479</v>
      </c>
      <c r="Q78" s="11" t="s">
        <v>520</v>
      </c>
      <c r="R78" s="11" t="s">
        <v>103</v>
      </c>
      <c r="S78" s="11"/>
    </row>
    <row r="79" customFormat="false" ht="23.85" hidden="false" customHeight="false" outlineLevel="0" collapsed="false">
      <c r="A79" s="17" t="s">
        <v>521</v>
      </c>
      <c r="B79" s="17" t="s">
        <v>480</v>
      </c>
      <c r="C79" s="17" t="s">
        <v>481</v>
      </c>
      <c r="D79" s="17" t="s">
        <v>522</v>
      </c>
      <c r="E79" s="17" t="s">
        <v>523</v>
      </c>
      <c r="F79" s="17" t="s">
        <v>524</v>
      </c>
      <c r="G79" s="17" t="s">
        <v>233</v>
      </c>
      <c r="H79" s="17" t="s">
        <v>99</v>
      </c>
      <c r="I79" s="17" t="s">
        <v>114</v>
      </c>
      <c r="J79" s="18" t="s">
        <v>100</v>
      </c>
      <c r="K79" s="18" t="s">
        <v>101</v>
      </c>
      <c r="L79" s="18" t="n">
        <v>5</v>
      </c>
      <c r="M79" s="18" t="n">
        <v>16</v>
      </c>
      <c r="N79" s="17" t="str">
        <f aca="false">IF(M79&lt;=4,"R1 Foundation",IF(M79&lt;=8,"R2 Core Clinic",IF(M79&lt;=13,"R3 Revenue &amp; Messaging",IF(M79&lt;=18,"R4 Patient &amp; Platform",IF(M79&lt;=20,"R5 Harden","R6 Launch")))))</f>
        <v>R4 Patient &amp; Platform</v>
      </c>
      <c r="O79" s="19" t="n">
        <f aca="false">L79*README!$B$32</f>
        <v>3</v>
      </c>
      <c r="P79" s="17" t="s">
        <v>525</v>
      </c>
      <c r="Q79" s="17" t="s">
        <v>526</v>
      </c>
      <c r="R79" s="17" t="s">
        <v>103</v>
      </c>
      <c r="S79" s="17"/>
    </row>
    <row r="80" customFormat="false" ht="23.85" hidden="false" customHeight="false" outlineLevel="0" collapsed="false">
      <c r="A80" s="11" t="s">
        <v>527</v>
      </c>
      <c r="B80" s="11" t="s">
        <v>480</v>
      </c>
      <c r="C80" s="11" t="s">
        <v>481</v>
      </c>
      <c r="D80" s="11" t="s">
        <v>528</v>
      </c>
      <c r="E80" s="11" t="s">
        <v>529</v>
      </c>
      <c r="F80" s="11" t="s">
        <v>530</v>
      </c>
      <c r="G80" s="11" t="s">
        <v>485</v>
      </c>
      <c r="H80" s="11" t="s">
        <v>291</v>
      </c>
      <c r="I80" s="11" t="s">
        <v>114</v>
      </c>
      <c r="J80" s="15" t="s">
        <v>130</v>
      </c>
      <c r="K80" s="15" t="s">
        <v>101</v>
      </c>
      <c r="L80" s="15" t="n">
        <v>3</v>
      </c>
      <c r="M80" s="15" t="n">
        <v>13</v>
      </c>
      <c r="N80" s="11" t="str">
        <f aca="false">IF(M80&lt;=4,"R1 Foundation",IF(M80&lt;=8,"R2 Core Clinic",IF(M80&lt;=13,"R3 Revenue &amp; Messaging",IF(M80&lt;=18,"R4 Patient &amp; Platform",IF(M80&lt;=20,"R5 Harden","R6 Launch")))))</f>
        <v>R3 Revenue &amp; Messaging</v>
      </c>
      <c r="O80" s="16" t="n">
        <f aca="false">L80*README!$B$32</f>
        <v>1.8</v>
      </c>
      <c r="P80" s="11" t="s">
        <v>479</v>
      </c>
      <c r="Q80" s="11" t="s">
        <v>531</v>
      </c>
      <c r="R80" s="11" t="s">
        <v>103</v>
      </c>
      <c r="S80" s="11"/>
    </row>
    <row r="81" customFormat="false" ht="23.85" hidden="false" customHeight="false" outlineLevel="0" collapsed="false">
      <c r="A81" s="17" t="s">
        <v>532</v>
      </c>
      <c r="B81" s="17" t="s">
        <v>533</v>
      </c>
      <c r="C81" s="17" t="s">
        <v>534</v>
      </c>
      <c r="D81" s="17" t="s">
        <v>535</v>
      </c>
      <c r="E81" s="17" t="s">
        <v>536</v>
      </c>
      <c r="F81" s="17" t="s">
        <v>537</v>
      </c>
      <c r="G81" s="17" t="s">
        <v>310</v>
      </c>
      <c r="H81" s="17" t="s">
        <v>310</v>
      </c>
      <c r="I81" s="17" t="s">
        <v>292</v>
      </c>
      <c r="J81" s="18" t="s">
        <v>100</v>
      </c>
      <c r="K81" s="18" t="s">
        <v>101</v>
      </c>
      <c r="L81" s="18" t="n">
        <v>8</v>
      </c>
      <c r="M81" s="18" t="n">
        <v>14</v>
      </c>
      <c r="N81" s="17" t="str">
        <f aca="false">IF(M81&lt;=4,"R1 Foundation",IF(M81&lt;=8,"R2 Core Clinic",IF(M81&lt;=13,"R3 Revenue &amp; Messaging",IF(M81&lt;=18,"R4 Patient &amp; Platform",IF(M81&lt;=20,"R5 Harden","R6 Launch")))))</f>
        <v>R4 Patient &amp; Platform</v>
      </c>
      <c r="O81" s="19" t="n">
        <f aca="false">L81*README!$B$32</f>
        <v>4.8</v>
      </c>
      <c r="P81" s="17" t="s">
        <v>538</v>
      </c>
      <c r="Q81" s="17" t="s">
        <v>539</v>
      </c>
      <c r="R81" s="17" t="s">
        <v>103</v>
      </c>
      <c r="S81" s="17"/>
    </row>
    <row r="82" customFormat="false" ht="23.85" hidden="false" customHeight="false" outlineLevel="0" collapsed="false">
      <c r="A82" s="11" t="s">
        <v>540</v>
      </c>
      <c r="B82" s="11" t="s">
        <v>533</v>
      </c>
      <c r="C82" s="11" t="s">
        <v>534</v>
      </c>
      <c r="D82" s="11" t="s">
        <v>541</v>
      </c>
      <c r="E82" s="11" t="s">
        <v>542</v>
      </c>
      <c r="F82" s="11" t="s">
        <v>543</v>
      </c>
      <c r="G82" s="11" t="s">
        <v>310</v>
      </c>
      <c r="H82" s="11" t="s">
        <v>310</v>
      </c>
      <c r="I82" s="11" t="s">
        <v>292</v>
      </c>
      <c r="J82" s="15" t="s">
        <v>100</v>
      </c>
      <c r="K82" s="15" t="s">
        <v>101</v>
      </c>
      <c r="L82" s="15" t="n">
        <v>8</v>
      </c>
      <c r="M82" s="15" t="n">
        <v>14</v>
      </c>
      <c r="N82" s="11" t="str">
        <f aca="false">IF(M82&lt;=4,"R1 Foundation",IF(M82&lt;=8,"R2 Core Clinic",IF(M82&lt;=13,"R3 Revenue &amp; Messaging",IF(M82&lt;=18,"R4 Patient &amp; Platform",IF(M82&lt;=20,"R5 Harden","R6 Launch")))))</f>
        <v>R4 Patient &amp; Platform</v>
      </c>
      <c r="O82" s="16" t="n">
        <f aca="false">L82*README!$B$32</f>
        <v>4.8</v>
      </c>
      <c r="P82" s="11" t="s">
        <v>544</v>
      </c>
      <c r="Q82" s="11" t="s">
        <v>545</v>
      </c>
      <c r="R82" s="11" t="s">
        <v>103</v>
      </c>
      <c r="S82" s="11"/>
    </row>
    <row r="83" customFormat="false" ht="23.85" hidden="false" customHeight="false" outlineLevel="0" collapsed="false">
      <c r="A83" s="17" t="s">
        <v>546</v>
      </c>
      <c r="B83" s="17" t="s">
        <v>533</v>
      </c>
      <c r="C83" s="17" t="s">
        <v>534</v>
      </c>
      <c r="D83" s="17" t="s">
        <v>547</v>
      </c>
      <c r="E83" s="17" t="s">
        <v>548</v>
      </c>
      <c r="F83" s="17" t="s">
        <v>549</v>
      </c>
      <c r="G83" s="17" t="s">
        <v>309</v>
      </c>
      <c r="H83" s="17" t="s">
        <v>310</v>
      </c>
      <c r="I83" s="17" t="s">
        <v>292</v>
      </c>
      <c r="J83" s="18" t="s">
        <v>100</v>
      </c>
      <c r="K83" s="18" t="s">
        <v>101</v>
      </c>
      <c r="L83" s="18" t="n">
        <v>8</v>
      </c>
      <c r="M83" s="18" t="n">
        <v>15</v>
      </c>
      <c r="N83" s="17" t="str">
        <f aca="false">IF(M83&lt;=4,"R1 Foundation",IF(M83&lt;=8,"R2 Core Clinic",IF(M83&lt;=13,"R3 Revenue &amp; Messaging",IF(M83&lt;=18,"R4 Patient &amp; Platform",IF(M83&lt;=20,"R5 Harden","R6 Launch")))))</f>
        <v>R4 Patient &amp; Platform</v>
      </c>
      <c r="O83" s="19" t="n">
        <f aca="false">L83*README!$B$32</f>
        <v>4.8</v>
      </c>
      <c r="P83" s="17" t="s">
        <v>540</v>
      </c>
      <c r="Q83" s="17" t="s">
        <v>550</v>
      </c>
      <c r="R83" s="17" t="s">
        <v>103</v>
      </c>
      <c r="S83" s="17"/>
    </row>
    <row r="84" customFormat="false" ht="23.85" hidden="false" customHeight="false" outlineLevel="0" collapsed="false">
      <c r="A84" s="11" t="s">
        <v>551</v>
      </c>
      <c r="B84" s="11" t="s">
        <v>533</v>
      </c>
      <c r="C84" s="11" t="s">
        <v>534</v>
      </c>
      <c r="D84" s="11" t="s">
        <v>552</v>
      </c>
      <c r="E84" s="11" t="s">
        <v>553</v>
      </c>
      <c r="F84" s="11" t="s">
        <v>554</v>
      </c>
      <c r="G84" s="11" t="s">
        <v>310</v>
      </c>
      <c r="H84" s="11" t="s">
        <v>310</v>
      </c>
      <c r="I84" s="11" t="s">
        <v>292</v>
      </c>
      <c r="J84" s="15" t="s">
        <v>100</v>
      </c>
      <c r="K84" s="15" t="s">
        <v>101</v>
      </c>
      <c r="L84" s="15" t="n">
        <v>5</v>
      </c>
      <c r="M84" s="15" t="n">
        <v>15</v>
      </c>
      <c r="N84" s="11" t="str">
        <f aca="false">IF(M84&lt;=4,"R1 Foundation",IF(M84&lt;=8,"R2 Core Clinic",IF(M84&lt;=13,"R3 Revenue &amp; Messaging",IF(M84&lt;=18,"R4 Patient &amp; Platform",IF(M84&lt;=20,"R5 Harden","R6 Launch")))))</f>
        <v>R4 Patient &amp; Platform</v>
      </c>
      <c r="O84" s="16" t="n">
        <f aca="false">L84*README!$B$32</f>
        <v>3</v>
      </c>
      <c r="P84" s="11" t="s">
        <v>555</v>
      </c>
      <c r="Q84" s="11" t="s">
        <v>556</v>
      </c>
      <c r="R84" s="11" t="s">
        <v>103</v>
      </c>
      <c r="S84" s="11"/>
    </row>
    <row r="85" customFormat="false" ht="23.85" hidden="false" customHeight="false" outlineLevel="0" collapsed="false">
      <c r="A85" s="17" t="s">
        <v>557</v>
      </c>
      <c r="B85" s="17" t="s">
        <v>533</v>
      </c>
      <c r="C85" s="17" t="s">
        <v>534</v>
      </c>
      <c r="D85" s="17" t="s">
        <v>558</v>
      </c>
      <c r="E85" s="17" t="s">
        <v>559</v>
      </c>
      <c r="F85" s="17" t="s">
        <v>560</v>
      </c>
      <c r="G85" s="17" t="s">
        <v>310</v>
      </c>
      <c r="H85" s="17" t="s">
        <v>310</v>
      </c>
      <c r="I85" s="17" t="s">
        <v>292</v>
      </c>
      <c r="J85" s="18" t="s">
        <v>130</v>
      </c>
      <c r="K85" s="18" t="s">
        <v>101</v>
      </c>
      <c r="L85" s="18" t="n">
        <v>5</v>
      </c>
      <c r="M85" s="18" t="n">
        <v>16</v>
      </c>
      <c r="N85" s="17" t="str">
        <f aca="false">IF(M85&lt;=4,"R1 Foundation",IF(M85&lt;=8,"R2 Core Clinic",IF(M85&lt;=13,"R3 Revenue &amp; Messaging",IF(M85&lt;=18,"R4 Patient &amp; Platform",IF(M85&lt;=20,"R5 Harden","R6 Launch")))))</f>
        <v>R4 Patient &amp; Platform</v>
      </c>
      <c r="O85" s="19" t="n">
        <f aca="false">L85*README!$B$32</f>
        <v>3</v>
      </c>
      <c r="P85" s="17" t="s">
        <v>551</v>
      </c>
      <c r="Q85" s="17" t="s">
        <v>561</v>
      </c>
      <c r="R85" s="17" t="s">
        <v>103</v>
      </c>
      <c r="S85" s="17"/>
    </row>
    <row r="86" customFormat="false" ht="23.85" hidden="false" customHeight="false" outlineLevel="0" collapsed="false">
      <c r="A86" s="11" t="s">
        <v>562</v>
      </c>
      <c r="B86" s="11" t="s">
        <v>533</v>
      </c>
      <c r="C86" s="11" t="s">
        <v>534</v>
      </c>
      <c r="D86" s="11" t="s">
        <v>563</v>
      </c>
      <c r="E86" s="11" t="s">
        <v>564</v>
      </c>
      <c r="F86" s="11" t="s">
        <v>565</v>
      </c>
      <c r="G86" s="11" t="s">
        <v>310</v>
      </c>
      <c r="H86" s="11" t="s">
        <v>310</v>
      </c>
      <c r="I86" s="11" t="s">
        <v>292</v>
      </c>
      <c r="J86" s="15" t="s">
        <v>100</v>
      </c>
      <c r="K86" s="15" t="s">
        <v>101</v>
      </c>
      <c r="L86" s="15" t="n">
        <v>5</v>
      </c>
      <c r="M86" s="15" t="n">
        <v>16</v>
      </c>
      <c r="N86" s="11" t="str">
        <f aca="false">IF(M86&lt;=4,"R1 Foundation",IF(M86&lt;=8,"R2 Core Clinic",IF(M86&lt;=13,"R3 Revenue &amp; Messaging",IF(M86&lt;=18,"R4 Patient &amp; Platform",IF(M86&lt;=20,"R5 Harden","R6 Launch")))))</f>
        <v>R4 Patient &amp; Platform</v>
      </c>
      <c r="O86" s="16" t="n">
        <f aca="false">L86*README!$B$32</f>
        <v>3</v>
      </c>
      <c r="P86" s="11" t="s">
        <v>540</v>
      </c>
      <c r="Q86" s="11" t="s">
        <v>566</v>
      </c>
      <c r="R86" s="11" t="s">
        <v>103</v>
      </c>
      <c r="S86" s="11"/>
    </row>
    <row r="87" customFormat="false" ht="23.85" hidden="false" customHeight="false" outlineLevel="0" collapsed="false">
      <c r="A87" s="17" t="s">
        <v>567</v>
      </c>
      <c r="B87" s="17" t="s">
        <v>533</v>
      </c>
      <c r="C87" s="17" t="s">
        <v>534</v>
      </c>
      <c r="D87" s="17" t="s">
        <v>568</v>
      </c>
      <c r="E87" s="17" t="s">
        <v>569</v>
      </c>
      <c r="F87" s="17" t="s">
        <v>570</v>
      </c>
      <c r="G87" s="17" t="s">
        <v>309</v>
      </c>
      <c r="H87" s="17" t="s">
        <v>310</v>
      </c>
      <c r="I87" s="17" t="s">
        <v>292</v>
      </c>
      <c r="J87" s="18" t="s">
        <v>130</v>
      </c>
      <c r="K87" s="18" t="s">
        <v>211</v>
      </c>
      <c r="L87" s="18" t="n">
        <v>8</v>
      </c>
      <c r="M87" s="18" t="n">
        <v>18</v>
      </c>
      <c r="N87" s="17" t="str">
        <f aca="false">IF(M87&lt;=4,"R1 Foundation",IF(M87&lt;=8,"R2 Core Clinic",IF(M87&lt;=13,"R3 Revenue &amp; Messaging",IF(M87&lt;=18,"R4 Patient &amp; Platform",IF(M87&lt;=20,"R5 Harden","R6 Launch")))))</f>
        <v>R4 Patient &amp; Platform</v>
      </c>
      <c r="O87" s="19" t="n">
        <f aca="false">L87*README!$B$32</f>
        <v>4.8</v>
      </c>
      <c r="P87" s="17" t="s">
        <v>551</v>
      </c>
      <c r="Q87" s="17" t="s">
        <v>571</v>
      </c>
      <c r="R87" s="17" t="s">
        <v>103</v>
      </c>
      <c r="S87" s="17"/>
    </row>
    <row r="88" customFormat="false" ht="23.85" hidden="false" customHeight="false" outlineLevel="0" collapsed="false">
      <c r="A88" s="11" t="s">
        <v>572</v>
      </c>
      <c r="B88" s="11" t="s">
        <v>533</v>
      </c>
      <c r="C88" s="11" t="s">
        <v>534</v>
      </c>
      <c r="D88" s="11" t="s">
        <v>573</v>
      </c>
      <c r="E88" s="11" t="s">
        <v>574</v>
      </c>
      <c r="F88" s="11" t="s">
        <v>575</v>
      </c>
      <c r="G88" s="11" t="s">
        <v>310</v>
      </c>
      <c r="H88" s="11" t="s">
        <v>310</v>
      </c>
      <c r="I88" s="11" t="s">
        <v>292</v>
      </c>
      <c r="J88" s="15" t="s">
        <v>210</v>
      </c>
      <c r="K88" s="15" t="s">
        <v>211</v>
      </c>
      <c r="L88" s="15" t="n">
        <v>5</v>
      </c>
      <c r="M88" s="15" t="n">
        <v>19</v>
      </c>
      <c r="N88" s="11" t="str">
        <f aca="false">IF(M88&lt;=4,"R1 Foundation",IF(M88&lt;=8,"R2 Core Clinic",IF(M88&lt;=13,"R3 Revenue &amp; Messaging",IF(M88&lt;=18,"R4 Patient &amp; Platform",IF(M88&lt;=20,"R5 Harden","R6 Launch")))))</f>
        <v>R5 Harden</v>
      </c>
      <c r="O88" s="16" t="n">
        <f aca="false">L88*README!$B$32</f>
        <v>3</v>
      </c>
      <c r="P88" s="11" t="s">
        <v>562</v>
      </c>
      <c r="Q88" s="11" t="s">
        <v>576</v>
      </c>
      <c r="R88" s="11" t="s">
        <v>103</v>
      </c>
      <c r="S88" s="11"/>
    </row>
    <row r="89" customFormat="false" ht="23.85" hidden="false" customHeight="false" outlineLevel="0" collapsed="false">
      <c r="A89" s="17" t="s">
        <v>577</v>
      </c>
      <c r="B89" s="17" t="s">
        <v>533</v>
      </c>
      <c r="C89" s="17" t="s">
        <v>534</v>
      </c>
      <c r="D89" s="17" t="s">
        <v>578</v>
      </c>
      <c r="E89" s="17" t="s">
        <v>579</v>
      </c>
      <c r="F89" s="17" t="s">
        <v>580</v>
      </c>
      <c r="G89" s="17" t="s">
        <v>309</v>
      </c>
      <c r="H89" s="17" t="s">
        <v>310</v>
      </c>
      <c r="I89" s="17" t="s">
        <v>292</v>
      </c>
      <c r="J89" s="18" t="s">
        <v>210</v>
      </c>
      <c r="K89" s="18" t="s">
        <v>460</v>
      </c>
      <c r="L89" s="18" t="n">
        <v>8</v>
      </c>
      <c r="M89" s="18" t="n">
        <v>21</v>
      </c>
      <c r="N89" s="17" t="str">
        <f aca="false">IF(M89&lt;=4,"R1 Foundation",IF(M89&lt;=8,"R2 Core Clinic",IF(M89&lt;=13,"R3 Revenue &amp; Messaging",IF(M89&lt;=18,"R4 Patient &amp; Platform",IF(M89&lt;=20,"R5 Harden","R6 Launch")))))</f>
        <v>R6 Launch</v>
      </c>
      <c r="O89" s="19" t="n">
        <f aca="false">L89*README!$B$32</f>
        <v>4.8</v>
      </c>
      <c r="P89" s="17" t="s">
        <v>581</v>
      </c>
      <c r="Q89" s="17" t="s">
        <v>582</v>
      </c>
      <c r="R89" s="17" t="s">
        <v>103</v>
      </c>
      <c r="S89" s="17"/>
    </row>
    <row r="90" customFormat="false" ht="23.85" hidden="false" customHeight="false" outlineLevel="0" collapsed="false">
      <c r="A90" s="11" t="s">
        <v>583</v>
      </c>
      <c r="B90" s="11" t="s">
        <v>533</v>
      </c>
      <c r="C90" s="11" t="s">
        <v>534</v>
      </c>
      <c r="D90" s="11" t="s">
        <v>584</v>
      </c>
      <c r="E90" s="11" t="s">
        <v>585</v>
      </c>
      <c r="F90" s="11" t="s">
        <v>586</v>
      </c>
      <c r="G90" s="11" t="s">
        <v>98</v>
      </c>
      <c r="H90" s="11" t="s">
        <v>99</v>
      </c>
      <c r="I90" s="11" t="s">
        <v>114</v>
      </c>
      <c r="J90" s="15" t="s">
        <v>100</v>
      </c>
      <c r="K90" s="15" t="s">
        <v>101</v>
      </c>
      <c r="L90" s="15" t="n">
        <v>5</v>
      </c>
      <c r="M90" s="15" t="n">
        <v>15</v>
      </c>
      <c r="N90" s="11" t="str">
        <f aca="false">IF(M90&lt;=4,"R1 Foundation",IF(M90&lt;=8,"R2 Core Clinic",IF(M90&lt;=13,"R3 Revenue &amp; Messaging",IF(M90&lt;=18,"R4 Patient &amp; Platform",IF(M90&lt;=20,"R5 Harden","R6 Launch")))))</f>
        <v>R4 Patient &amp; Platform</v>
      </c>
      <c r="O90" s="16" t="n">
        <f aca="false">L90*README!$B$32</f>
        <v>3</v>
      </c>
      <c r="P90" s="11" t="s">
        <v>587</v>
      </c>
      <c r="Q90" s="11" t="s">
        <v>588</v>
      </c>
      <c r="R90" s="11" t="s">
        <v>103</v>
      </c>
      <c r="S90" s="11"/>
    </row>
    <row r="91" customFormat="false" ht="23.85" hidden="false" customHeight="false" outlineLevel="0" collapsed="false">
      <c r="A91" s="17" t="s">
        <v>293</v>
      </c>
      <c r="B91" s="17" t="s">
        <v>589</v>
      </c>
      <c r="C91" s="17" t="s">
        <v>590</v>
      </c>
      <c r="D91" s="17" t="s">
        <v>591</v>
      </c>
      <c r="E91" s="17" t="s">
        <v>592</v>
      </c>
      <c r="F91" s="17" t="s">
        <v>593</v>
      </c>
      <c r="G91" s="17" t="s">
        <v>485</v>
      </c>
      <c r="H91" s="17" t="s">
        <v>291</v>
      </c>
      <c r="I91" s="17" t="s">
        <v>114</v>
      </c>
      <c r="J91" s="18" t="s">
        <v>100</v>
      </c>
      <c r="K91" s="18" t="s">
        <v>101</v>
      </c>
      <c r="L91" s="18" t="n">
        <v>13</v>
      </c>
      <c r="M91" s="18" t="n">
        <v>7</v>
      </c>
      <c r="N91" s="17" t="str">
        <f aca="false">IF(M91&lt;=4,"R1 Foundation",IF(M91&lt;=8,"R2 Core Clinic",IF(M91&lt;=13,"R3 Revenue &amp; Messaging",IF(M91&lt;=18,"R4 Patient &amp; Platform",IF(M91&lt;=20,"R5 Harden","R6 Launch")))))</f>
        <v>R2 Core Clinic</v>
      </c>
      <c r="O91" s="19" t="n">
        <f aca="false">L91*README!$B$32</f>
        <v>7.8</v>
      </c>
      <c r="P91" s="17" t="s">
        <v>467</v>
      </c>
      <c r="Q91" s="17" t="s">
        <v>594</v>
      </c>
      <c r="R91" s="17" t="s">
        <v>103</v>
      </c>
      <c r="S91" s="17"/>
    </row>
    <row r="92" customFormat="false" ht="23.85" hidden="false" customHeight="false" outlineLevel="0" collapsed="false">
      <c r="A92" s="11" t="s">
        <v>595</v>
      </c>
      <c r="B92" s="11" t="s">
        <v>589</v>
      </c>
      <c r="C92" s="11" t="s">
        <v>590</v>
      </c>
      <c r="D92" s="11" t="s">
        <v>596</v>
      </c>
      <c r="E92" s="11" t="s">
        <v>597</v>
      </c>
      <c r="F92" s="11" t="s">
        <v>598</v>
      </c>
      <c r="G92" s="11" t="s">
        <v>357</v>
      </c>
      <c r="H92" s="11" t="s">
        <v>291</v>
      </c>
      <c r="I92" s="11" t="s">
        <v>292</v>
      </c>
      <c r="J92" s="15" t="s">
        <v>100</v>
      </c>
      <c r="K92" s="15" t="s">
        <v>101</v>
      </c>
      <c r="L92" s="15" t="n">
        <v>8</v>
      </c>
      <c r="M92" s="15" t="n">
        <v>9</v>
      </c>
      <c r="N92" s="11" t="str">
        <f aca="false">IF(M92&lt;=4,"R1 Foundation",IF(M92&lt;=8,"R2 Core Clinic",IF(M92&lt;=13,"R3 Revenue &amp; Messaging",IF(M92&lt;=18,"R4 Patient &amp; Platform",IF(M92&lt;=20,"R5 Harden","R6 Launch")))))</f>
        <v>R3 Revenue &amp; Messaging</v>
      </c>
      <c r="O92" s="16" t="n">
        <f aca="false">L92*README!$B$32</f>
        <v>4.8</v>
      </c>
      <c r="P92" s="11" t="s">
        <v>293</v>
      </c>
      <c r="Q92" s="11" t="s">
        <v>599</v>
      </c>
      <c r="R92" s="11" t="s">
        <v>103</v>
      </c>
      <c r="S92" s="11"/>
    </row>
    <row r="93" customFormat="false" ht="23.85" hidden="false" customHeight="false" outlineLevel="0" collapsed="false">
      <c r="A93" s="17" t="s">
        <v>450</v>
      </c>
      <c r="B93" s="17" t="s">
        <v>589</v>
      </c>
      <c r="C93" s="17" t="s">
        <v>590</v>
      </c>
      <c r="D93" s="17" t="s">
        <v>600</v>
      </c>
      <c r="E93" s="17" t="s">
        <v>601</v>
      </c>
      <c r="F93" s="17" t="s">
        <v>602</v>
      </c>
      <c r="G93" s="17" t="s">
        <v>233</v>
      </c>
      <c r="H93" s="17" t="s">
        <v>291</v>
      </c>
      <c r="I93" s="17" t="s">
        <v>292</v>
      </c>
      <c r="J93" s="18" t="s">
        <v>100</v>
      </c>
      <c r="K93" s="18" t="s">
        <v>101</v>
      </c>
      <c r="L93" s="18" t="n">
        <v>8</v>
      </c>
      <c r="M93" s="18" t="n">
        <v>10</v>
      </c>
      <c r="N93" s="17" t="str">
        <f aca="false">IF(M93&lt;=4,"R1 Foundation",IF(M93&lt;=8,"R2 Core Clinic",IF(M93&lt;=13,"R3 Revenue &amp; Messaging",IF(M93&lt;=18,"R4 Patient &amp; Platform",IF(M93&lt;=20,"R5 Harden","R6 Launch")))))</f>
        <v>R3 Revenue &amp; Messaging</v>
      </c>
      <c r="O93" s="19" t="n">
        <f aca="false">L93*README!$B$32</f>
        <v>4.8</v>
      </c>
      <c r="P93" s="17" t="s">
        <v>441</v>
      </c>
      <c r="Q93" s="17" t="s">
        <v>603</v>
      </c>
      <c r="R93" s="17" t="s">
        <v>103</v>
      </c>
      <c r="S93" s="17"/>
    </row>
    <row r="94" customFormat="false" ht="23.85" hidden="false" customHeight="false" outlineLevel="0" collapsed="false">
      <c r="A94" s="11" t="s">
        <v>604</v>
      </c>
      <c r="B94" s="11" t="s">
        <v>589</v>
      </c>
      <c r="C94" s="11" t="s">
        <v>605</v>
      </c>
      <c r="D94" s="11" t="s">
        <v>606</v>
      </c>
      <c r="E94" s="11" t="s">
        <v>607</v>
      </c>
      <c r="F94" s="11"/>
      <c r="G94" s="11" t="s">
        <v>485</v>
      </c>
      <c r="H94" s="11" t="s">
        <v>291</v>
      </c>
      <c r="I94" s="11" t="s">
        <v>292</v>
      </c>
      <c r="J94" s="15" t="s">
        <v>100</v>
      </c>
      <c r="K94" s="15" t="s">
        <v>101</v>
      </c>
      <c r="L94" s="15" t="n">
        <v>8</v>
      </c>
      <c r="M94" s="15" t="n">
        <v>8</v>
      </c>
      <c r="N94" s="11" t="str">
        <f aca="false">IF(M94&lt;=4,"R1 Foundation",IF(M94&lt;=8,"R2 Core Clinic",IF(M94&lt;=13,"R3 Revenue &amp; Messaging",IF(M94&lt;=18,"R4 Patient &amp; Platform",IF(M94&lt;=20,"R5 Harden","R6 Launch")))))</f>
        <v>R2 Core Clinic</v>
      </c>
      <c r="O94" s="16" t="n">
        <f aca="false">L94*README!$B$32</f>
        <v>4.8</v>
      </c>
      <c r="P94" s="11" t="s">
        <v>293</v>
      </c>
      <c r="Q94" s="11" t="s">
        <v>608</v>
      </c>
      <c r="R94" s="11" t="s">
        <v>103</v>
      </c>
      <c r="S94" s="11"/>
    </row>
    <row r="95" customFormat="false" ht="23.85" hidden="false" customHeight="false" outlineLevel="0" collapsed="false">
      <c r="A95" s="17" t="s">
        <v>609</v>
      </c>
      <c r="B95" s="17" t="s">
        <v>589</v>
      </c>
      <c r="C95" s="17" t="s">
        <v>605</v>
      </c>
      <c r="D95" s="17" t="s">
        <v>610</v>
      </c>
      <c r="E95" s="17" t="s">
        <v>611</v>
      </c>
      <c r="F95" s="17"/>
      <c r="G95" s="17" t="s">
        <v>338</v>
      </c>
      <c r="H95" s="17" t="s">
        <v>291</v>
      </c>
      <c r="I95" s="17" t="s">
        <v>114</v>
      </c>
      <c r="J95" s="18" t="s">
        <v>100</v>
      </c>
      <c r="K95" s="18" t="s">
        <v>101</v>
      </c>
      <c r="L95" s="18" t="n">
        <v>5</v>
      </c>
      <c r="M95" s="18" t="n">
        <v>8</v>
      </c>
      <c r="N95" s="17" t="str">
        <f aca="false">IF(M95&lt;=4,"R1 Foundation",IF(M95&lt;=8,"R2 Core Clinic",IF(M95&lt;=13,"R3 Revenue &amp; Messaging",IF(M95&lt;=18,"R4 Patient &amp; Platform",IF(M95&lt;=20,"R5 Harden","R6 Launch")))))</f>
        <v>R2 Core Clinic</v>
      </c>
      <c r="O95" s="19" t="n">
        <f aca="false">L95*README!$B$32</f>
        <v>3</v>
      </c>
      <c r="P95" s="17" t="s">
        <v>604</v>
      </c>
      <c r="Q95" s="17" t="s">
        <v>612</v>
      </c>
      <c r="R95" s="17" t="s">
        <v>103</v>
      </c>
      <c r="S95" s="17"/>
    </row>
    <row r="96" customFormat="false" ht="23.85" hidden="false" customHeight="false" outlineLevel="0" collapsed="false">
      <c r="A96" s="11" t="s">
        <v>613</v>
      </c>
      <c r="B96" s="11" t="s">
        <v>589</v>
      </c>
      <c r="C96" s="11" t="s">
        <v>605</v>
      </c>
      <c r="D96" s="11" t="s">
        <v>614</v>
      </c>
      <c r="E96" s="11" t="s">
        <v>615</v>
      </c>
      <c r="F96" s="11"/>
      <c r="G96" s="11" t="s">
        <v>485</v>
      </c>
      <c r="H96" s="11" t="s">
        <v>291</v>
      </c>
      <c r="I96" s="11" t="s">
        <v>168</v>
      </c>
      <c r="J96" s="15" t="s">
        <v>100</v>
      </c>
      <c r="K96" s="15" t="s">
        <v>101</v>
      </c>
      <c r="L96" s="15" t="n">
        <v>5</v>
      </c>
      <c r="M96" s="15" t="n">
        <v>9</v>
      </c>
      <c r="N96" s="11" t="str">
        <f aca="false">IF(M96&lt;=4,"R1 Foundation",IF(M96&lt;=8,"R2 Core Clinic",IF(M96&lt;=13,"R3 Revenue &amp; Messaging",IF(M96&lt;=18,"R4 Patient &amp; Platform",IF(M96&lt;=20,"R5 Harden","R6 Launch")))))</f>
        <v>R3 Revenue &amp; Messaging</v>
      </c>
      <c r="O96" s="16" t="n">
        <f aca="false">L96*README!$B$32</f>
        <v>3</v>
      </c>
      <c r="P96" s="11" t="s">
        <v>616</v>
      </c>
      <c r="Q96" s="11" t="s">
        <v>617</v>
      </c>
      <c r="R96" s="11" t="s">
        <v>103</v>
      </c>
      <c r="S96" s="11"/>
    </row>
    <row r="97" customFormat="false" ht="23.85" hidden="false" customHeight="false" outlineLevel="0" collapsed="false">
      <c r="A97" s="17" t="s">
        <v>618</v>
      </c>
      <c r="B97" s="17" t="s">
        <v>589</v>
      </c>
      <c r="C97" s="17" t="s">
        <v>605</v>
      </c>
      <c r="D97" s="17" t="s">
        <v>619</v>
      </c>
      <c r="E97" s="17" t="s">
        <v>620</v>
      </c>
      <c r="F97" s="17" t="s">
        <v>205</v>
      </c>
      <c r="G97" s="17" t="s">
        <v>98</v>
      </c>
      <c r="H97" s="17" t="s">
        <v>291</v>
      </c>
      <c r="I97" s="17" t="s">
        <v>114</v>
      </c>
      <c r="J97" s="18" t="s">
        <v>100</v>
      </c>
      <c r="K97" s="18" t="s">
        <v>101</v>
      </c>
      <c r="L97" s="18" t="n">
        <v>5</v>
      </c>
      <c r="M97" s="18" t="n">
        <v>9</v>
      </c>
      <c r="N97" s="17" t="str">
        <f aca="false">IF(M97&lt;=4,"R1 Foundation",IF(M97&lt;=8,"R2 Core Clinic",IF(M97&lt;=13,"R3 Revenue &amp; Messaging",IF(M97&lt;=18,"R4 Patient &amp; Platform",IF(M97&lt;=20,"R5 Harden","R6 Launch")))))</f>
        <v>R3 Revenue &amp; Messaging</v>
      </c>
      <c r="O97" s="19" t="n">
        <f aca="false">L97*README!$B$32</f>
        <v>3</v>
      </c>
      <c r="P97" s="17" t="s">
        <v>609</v>
      </c>
      <c r="Q97" s="17" t="s">
        <v>621</v>
      </c>
      <c r="R97" s="17" t="s">
        <v>103</v>
      </c>
      <c r="S97" s="17"/>
    </row>
    <row r="98" customFormat="false" ht="23.85" hidden="false" customHeight="false" outlineLevel="0" collapsed="false">
      <c r="A98" s="11" t="s">
        <v>622</v>
      </c>
      <c r="B98" s="11" t="s">
        <v>589</v>
      </c>
      <c r="C98" s="11" t="s">
        <v>605</v>
      </c>
      <c r="D98" s="11" t="s">
        <v>623</v>
      </c>
      <c r="E98" s="11" t="s">
        <v>624</v>
      </c>
      <c r="F98" s="11" t="s">
        <v>161</v>
      </c>
      <c r="G98" s="11" t="s">
        <v>485</v>
      </c>
      <c r="H98" s="11" t="s">
        <v>291</v>
      </c>
      <c r="I98" s="11" t="s">
        <v>292</v>
      </c>
      <c r="J98" s="15" t="s">
        <v>100</v>
      </c>
      <c r="K98" s="15" t="s">
        <v>101</v>
      </c>
      <c r="L98" s="15" t="n">
        <v>5</v>
      </c>
      <c r="M98" s="15" t="n">
        <v>10</v>
      </c>
      <c r="N98" s="11" t="str">
        <f aca="false">IF(M98&lt;=4,"R1 Foundation",IF(M98&lt;=8,"R2 Core Clinic",IF(M98&lt;=13,"R3 Revenue &amp; Messaging",IF(M98&lt;=18,"R4 Patient &amp; Platform",IF(M98&lt;=20,"R5 Harden","R6 Launch")))))</f>
        <v>R3 Revenue &amp; Messaging</v>
      </c>
      <c r="O98" s="16" t="n">
        <f aca="false">L98*README!$B$32</f>
        <v>3</v>
      </c>
      <c r="P98" s="11" t="s">
        <v>625</v>
      </c>
      <c r="Q98" s="11" t="s">
        <v>626</v>
      </c>
      <c r="R98" s="11" t="s">
        <v>103</v>
      </c>
      <c r="S98" s="11"/>
    </row>
    <row r="99" customFormat="false" ht="23.85" hidden="false" customHeight="false" outlineLevel="0" collapsed="false">
      <c r="A99" s="17" t="s">
        <v>627</v>
      </c>
      <c r="B99" s="17" t="s">
        <v>589</v>
      </c>
      <c r="C99" s="17" t="s">
        <v>605</v>
      </c>
      <c r="D99" s="17" t="s">
        <v>628</v>
      </c>
      <c r="E99" s="17" t="s">
        <v>629</v>
      </c>
      <c r="F99" s="17" t="s">
        <v>630</v>
      </c>
      <c r="G99" s="17" t="s">
        <v>631</v>
      </c>
      <c r="H99" s="17" t="s">
        <v>291</v>
      </c>
      <c r="I99" s="17" t="s">
        <v>114</v>
      </c>
      <c r="J99" s="18" t="s">
        <v>100</v>
      </c>
      <c r="K99" s="18" t="s">
        <v>101</v>
      </c>
      <c r="L99" s="18" t="n">
        <v>5</v>
      </c>
      <c r="M99" s="18" t="n">
        <v>11</v>
      </c>
      <c r="N99" s="17" t="str">
        <f aca="false">IF(M99&lt;=4,"R1 Foundation",IF(M99&lt;=8,"R2 Core Clinic",IF(M99&lt;=13,"R3 Revenue &amp; Messaging",IF(M99&lt;=18,"R4 Patient &amp; Platform",IF(M99&lt;=20,"R5 Harden","R6 Launch")))))</f>
        <v>R3 Revenue &amp; Messaging</v>
      </c>
      <c r="O99" s="19" t="n">
        <f aca="false">L99*README!$B$32</f>
        <v>3</v>
      </c>
      <c r="P99" s="17" t="s">
        <v>632</v>
      </c>
      <c r="Q99" s="17" t="s">
        <v>633</v>
      </c>
      <c r="R99" s="17" t="s">
        <v>103</v>
      </c>
      <c r="S99" s="17"/>
    </row>
    <row r="100" customFormat="false" ht="23.85" hidden="false" customHeight="false" outlineLevel="0" collapsed="false">
      <c r="A100" s="11" t="s">
        <v>634</v>
      </c>
      <c r="B100" s="11" t="s">
        <v>589</v>
      </c>
      <c r="C100" s="11" t="s">
        <v>605</v>
      </c>
      <c r="D100" s="11" t="s">
        <v>635</v>
      </c>
      <c r="E100" s="11" t="s">
        <v>636</v>
      </c>
      <c r="F100" s="11" t="s">
        <v>637</v>
      </c>
      <c r="G100" s="11" t="s">
        <v>631</v>
      </c>
      <c r="H100" s="11" t="s">
        <v>291</v>
      </c>
      <c r="I100" s="11" t="s">
        <v>292</v>
      </c>
      <c r="J100" s="15" t="s">
        <v>130</v>
      </c>
      <c r="K100" s="15" t="s">
        <v>101</v>
      </c>
      <c r="L100" s="15" t="n">
        <v>8</v>
      </c>
      <c r="M100" s="15" t="n">
        <v>12</v>
      </c>
      <c r="N100" s="11" t="str">
        <f aca="false">IF(M100&lt;=4,"R1 Foundation",IF(M100&lt;=8,"R2 Core Clinic",IF(M100&lt;=13,"R3 Revenue &amp; Messaging",IF(M100&lt;=18,"R4 Patient &amp; Platform",IF(M100&lt;=20,"R5 Harden","R6 Launch")))))</f>
        <v>R3 Revenue &amp; Messaging</v>
      </c>
      <c r="O100" s="16" t="n">
        <f aca="false">L100*README!$B$32</f>
        <v>4.8</v>
      </c>
      <c r="P100" s="11" t="s">
        <v>638</v>
      </c>
      <c r="Q100" s="11" t="s">
        <v>639</v>
      </c>
      <c r="R100" s="11" t="s">
        <v>103</v>
      </c>
      <c r="S100" s="11"/>
    </row>
    <row r="101" customFormat="false" ht="35.05" hidden="false" customHeight="false" outlineLevel="0" collapsed="false">
      <c r="A101" s="17" t="s">
        <v>640</v>
      </c>
      <c r="B101" s="17" t="s">
        <v>589</v>
      </c>
      <c r="C101" s="17" t="s">
        <v>605</v>
      </c>
      <c r="D101" s="17" t="s">
        <v>641</v>
      </c>
      <c r="E101" s="17" t="s">
        <v>642</v>
      </c>
      <c r="F101" s="17" t="s">
        <v>643</v>
      </c>
      <c r="G101" s="17" t="s">
        <v>485</v>
      </c>
      <c r="H101" s="17" t="s">
        <v>291</v>
      </c>
      <c r="I101" s="17" t="s">
        <v>292</v>
      </c>
      <c r="J101" s="18" t="s">
        <v>100</v>
      </c>
      <c r="K101" s="18" t="s">
        <v>101</v>
      </c>
      <c r="L101" s="18" t="n">
        <v>8</v>
      </c>
      <c r="M101" s="18" t="n">
        <v>13</v>
      </c>
      <c r="N101" s="17" t="str">
        <f aca="false">IF(M101&lt;=4,"R1 Foundation",IF(M101&lt;=8,"R2 Core Clinic",IF(M101&lt;=13,"R3 Revenue &amp; Messaging",IF(M101&lt;=18,"R4 Patient &amp; Platform",IF(M101&lt;=20,"R5 Harden","R6 Launch")))))</f>
        <v>R3 Revenue &amp; Messaging</v>
      </c>
      <c r="O101" s="19" t="n">
        <f aca="false">L101*README!$B$32</f>
        <v>4.8</v>
      </c>
      <c r="P101" s="17" t="s">
        <v>644</v>
      </c>
      <c r="Q101" s="17" t="s">
        <v>645</v>
      </c>
      <c r="R101" s="17" t="s">
        <v>103</v>
      </c>
      <c r="S101" s="17"/>
    </row>
    <row r="102" customFormat="false" ht="23.85" hidden="false" customHeight="false" outlineLevel="0" collapsed="false">
      <c r="A102" s="11" t="s">
        <v>646</v>
      </c>
      <c r="B102" s="11" t="s">
        <v>589</v>
      </c>
      <c r="C102" s="11" t="s">
        <v>605</v>
      </c>
      <c r="D102" s="11" t="s">
        <v>647</v>
      </c>
      <c r="E102" s="11" t="s">
        <v>648</v>
      </c>
      <c r="F102" s="11" t="s">
        <v>649</v>
      </c>
      <c r="G102" s="11" t="s">
        <v>631</v>
      </c>
      <c r="H102" s="11" t="s">
        <v>291</v>
      </c>
      <c r="I102" s="11" t="s">
        <v>114</v>
      </c>
      <c r="J102" s="15" t="s">
        <v>210</v>
      </c>
      <c r="K102" s="15" t="s">
        <v>211</v>
      </c>
      <c r="L102" s="15" t="n">
        <v>5</v>
      </c>
      <c r="M102" s="15" t="n">
        <v>19</v>
      </c>
      <c r="N102" s="11" t="str">
        <f aca="false">IF(M102&lt;=4,"R1 Foundation",IF(M102&lt;=8,"R2 Core Clinic",IF(M102&lt;=13,"R3 Revenue &amp; Messaging",IF(M102&lt;=18,"R4 Patient &amp; Platform",IF(M102&lt;=20,"R5 Harden","R6 Launch")))))</f>
        <v>R5 Harden</v>
      </c>
      <c r="O102" s="16" t="n">
        <f aca="false">L102*README!$B$32</f>
        <v>3</v>
      </c>
      <c r="P102" s="11" t="s">
        <v>609</v>
      </c>
      <c r="Q102" s="11" t="s">
        <v>650</v>
      </c>
      <c r="R102" s="11" t="s">
        <v>103</v>
      </c>
      <c r="S102" s="11"/>
    </row>
    <row r="103" customFormat="false" ht="23.85" hidden="false" customHeight="false" outlineLevel="0" collapsed="false">
      <c r="A103" s="17" t="s">
        <v>651</v>
      </c>
      <c r="B103" s="17" t="s">
        <v>652</v>
      </c>
      <c r="C103" s="17" t="s">
        <v>653</v>
      </c>
      <c r="D103" s="17" t="s">
        <v>654</v>
      </c>
      <c r="E103" s="17" t="s">
        <v>655</v>
      </c>
      <c r="F103" s="17" t="s">
        <v>656</v>
      </c>
      <c r="G103" s="17" t="s">
        <v>374</v>
      </c>
      <c r="H103" s="17" t="s">
        <v>291</v>
      </c>
      <c r="I103" s="17" t="s">
        <v>168</v>
      </c>
      <c r="J103" s="18" t="s">
        <v>100</v>
      </c>
      <c r="K103" s="18" t="s">
        <v>101</v>
      </c>
      <c r="L103" s="18" t="n">
        <v>8</v>
      </c>
      <c r="M103" s="18" t="n">
        <v>11</v>
      </c>
      <c r="N103" s="17" t="str">
        <f aca="false">IF(M103&lt;=4,"R1 Foundation",IF(M103&lt;=8,"R2 Core Clinic",IF(M103&lt;=13,"R3 Revenue &amp; Messaging",IF(M103&lt;=18,"R4 Patient &amp; Platform",IF(M103&lt;=20,"R5 Harden","R6 Launch")))))</f>
        <v>R3 Revenue &amp; Messaging</v>
      </c>
      <c r="O103" s="19" t="n">
        <f aca="false">L103*README!$B$32</f>
        <v>4.8</v>
      </c>
      <c r="P103" s="17" t="s">
        <v>657</v>
      </c>
      <c r="Q103" s="17" t="s">
        <v>658</v>
      </c>
      <c r="R103" s="17" t="s">
        <v>103</v>
      </c>
      <c r="S103" s="17"/>
    </row>
    <row r="104" customFormat="false" ht="23.85" hidden="false" customHeight="false" outlineLevel="0" collapsed="false">
      <c r="A104" s="11" t="s">
        <v>659</v>
      </c>
      <c r="B104" s="11" t="s">
        <v>652</v>
      </c>
      <c r="C104" s="11" t="s">
        <v>653</v>
      </c>
      <c r="D104" s="11" t="s">
        <v>660</v>
      </c>
      <c r="E104" s="11" t="s">
        <v>661</v>
      </c>
      <c r="F104" s="11" t="s">
        <v>662</v>
      </c>
      <c r="G104" s="11" t="s">
        <v>374</v>
      </c>
      <c r="H104" s="11" t="s">
        <v>291</v>
      </c>
      <c r="I104" s="11" t="s">
        <v>292</v>
      </c>
      <c r="J104" s="15" t="s">
        <v>100</v>
      </c>
      <c r="K104" s="15" t="s">
        <v>101</v>
      </c>
      <c r="L104" s="15" t="n">
        <v>8</v>
      </c>
      <c r="M104" s="15" t="n">
        <v>11</v>
      </c>
      <c r="N104" s="11" t="str">
        <f aca="false">IF(M104&lt;=4,"R1 Foundation",IF(M104&lt;=8,"R2 Core Clinic",IF(M104&lt;=13,"R3 Revenue &amp; Messaging",IF(M104&lt;=18,"R4 Patient &amp; Platform",IF(M104&lt;=20,"R5 Harden","R6 Launch")))))</f>
        <v>R3 Revenue &amp; Messaging</v>
      </c>
      <c r="O104" s="16" t="n">
        <f aca="false">L104*README!$B$32</f>
        <v>4.8</v>
      </c>
      <c r="P104" s="11" t="s">
        <v>651</v>
      </c>
      <c r="Q104" s="11" t="s">
        <v>663</v>
      </c>
      <c r="R104" s="11" t="s">
        <v>103</v>
      </c>
      <c r="S104" s="11"/>
    </row>
    <row r="105" customFormat="false" ht="23.85" hidden="false" customHeight="false" outlineLevel="0" collapsed="false">
      <c r="A105" s="17" t="s">
        <v>664</v>
      </c>
      <c r="B105" s="17" t="s">
        <v>652</v>
      </c>
      <c r="C105" s="17" t="s">
        <v>653</v>
      </c>
      <c r="D105" s="17" t="s">
        <v>665</v>
      </c>
      <c r="E105" s="17" t="s">
        <v>666</v>
      </c>
      <c r="F105" s="17" t="s">
        <v>113</v>
      </c>
      <c r="G105" s="17" t="s">
        <v>374</v>
      </c>
      <c r="H105" s="17" t="s">
        <v>291</v>
      </c>
      <c r="I105" s="17" t="s">
        <v>114</v>
      </c>
      <c r="J105" s="18" t="s">
        <v>100</v>
      </c>
      <c r="K105" s="18" t="s">
        <v>101</v>
      </c>
      <c r="L105" s="18" t="n">
        <v>5</v>
      </c>
      <c r="M105" s="18" t="n">
        <v>12</v>
      </c>
      <c r="N105" s="17" t="str">
        <f aca="false">IF(M105&lt;=4,"R1 Foundation",IF(M105&lt;=8,"R2 Core Clinic",IF(M105&lt;=13,"R3 Revenue &amp; Messaging",IF(M105&lt;=18,"R4 Patient &amp; Platform",IF(M105&lt;=20,"R5 Harden","R6 Launch")))))</f>
        <v>R3 Revenue &amp; Messaging</v>
      </c>
      <c r="O105" s="19" t="n">
        <f aca="false">L105*README!$B$32</f>
        <v>3</v>
      </c>
      <c r="P105" s="17" t="s">
        <v>667</v>
      </c>
      <c r="Q105" s="17" t="s">
        <v>668</v>
      </c>
      <c r="R105" s="17" t="s">
        <v>103</v>
      </c>
      <c r="S105" s="17"/>
    </row>
    <row r="106" customFormat="false" ht="23.85" hidden="false" customHeight="false" outlineLevel="0" collapsed="false">
      <c r="A106" s="11" t="s">
        <v>669</v>
      </c>
      <c r="B106" s="11" t="s">
        <v>652</v>
      </c>
      <c r="C106" s="11" t="s">
        <v>653</v>
      </c>
      <c r="D106" s="11" t="s">
        <v>670</v>
      </c>
      <c r="E106" s="11" t="s">
        <v>671</v>
      </c>
      <c r="F106" s="11" t="s">
        <v>672</v>
      </c>
      <c r="G106" s="11" t="s">
        <v>374</v>
      </c>
      <c r="H106" s="11" t="s">
        <v>291</v>
      </c>
      <c r="I106" s="11" t="s">
        <v>168</v>
      </c>
      <c r="J106" s="15" t="s">
        <v>100</v>
      </c>
      <c r="K106" s="15" t="s">
        <v>101</v>
      </c>
      <c r="L106" s="15" t="n">
        <v>5</v>
      </c>
      <c r="M106" s="15" t="n">
        <v>12</v>
      </c>
      <c r="N106" s="11" t="str">
        <f aca="false">IF(M106&lt;=4,"R1 Foundation",IF(M106&lt;=8,"R2 Core Clinic",IF(M106&lt;=13,"R3 Revenue &amp; Messaging",IF(M106&lt;=18,"R4 Patient &amp; Platform",IF(M106&lt;=20,"R5 Harden","R6 Launch")))))</f>
        <v>R3 Revenue &amp; Messaging</v>
      </c>
      <c r="O106" s="16" t="n">
        <f aca="false">L106*README!$B$32</f>
        <v>3</v>
      </c>
      <c r="P106" s="11" t="s">
        <v>673</v>
      </c>
      <c r="Q106" s="11" t="s">
        <v>674</v>
      </c>
      <c r="R106" s="11" t="s">
        <v>103</v>
      </c>
      <c r="S106" s="11"/>
    </row>
    <row r="107" customFormat="false" ht="23.85" hidden="false" customHeight="false" outlineLevel="0" collapsed="false">
      <c r="A107" s="17" t="s">
        <v>675</v>
      </c>
      <c r="B107" s="17" t="s">
        <v>652</v>
      </c>
      <c r="C107" s="17" t="s">
        <v>653</v>
      </c>
      <c r="D107" s="17" t="s">
        <v>676</v>
      </c>
      <c r="E107" s="17" t="s">
        <v>677</v>
      </c>
      <c r="F107" s="17" t="s">
        <v>678</v>
      </c>
      <c r="G107" s="17" t="s">
        <v>679</v>
      </c>
      <c r="H107" s="17" t="s">
        <v>291</v>
      </c>
      <c r="I107" s="17" t="s">
        <v>292</v>
      </c>
      <c r="J107" s="18" t="s">
        <v>100</v>
      </c>
      <c r="K107" s="18" t="s">
        <v>101</v>
      </c>
      <c r="L107" s="18" t="n">
        <v>5</v>
      </c>
      <c r="M107" s="18" t="n">
        <v>10</v>
      </c>
      <c r="N107" s="17" t="str">
        <f aca="false">IF(M107&lt;=4,"R1 Foundation",IF(M107&lt;=8,"R2 Core Clinic",IF(M107&lt;=13,"R3 Revenue &amp; Messaging",IF(M107&lt;=18,"R4 Patient &amp; Platform",IF(M107&lt;=20,"R5 Harden","R6 Launch")))))</f>
        <v>R3 Revenue &amp; Messaging</v>
      </c>
      <c r="O107" s="19" t="n">
        <f aca="false">L107*README!$B$32</f>
        <v>3</v>
      </c>
      <c r="P107" s="17" t="s">
        <v>680</v>
      </c>
      <c r="Q107" s="17" t="s">
        <v>681</v>
      </c>
      <c r="R107" s="17" t="s">
        <v>103</v>
      </c>
      <c r="S107" s="17"/>
    </row>
    <row r="108" customFormat="false" ht="23.85" hidden="false" customHeight="false" outlineLevel="0" collapsed="false">
      <c r="A108" s="11" t="s">
        <v>682</v>
      </c>
      <c r="B108" s="11" t="s">
        <v>652</v>
      </c>
      <c r="C108" s="11" t="s">
        <v>653</v>
      </c>
      <c r="D108" s="11" t="s">
        <v>683</v>
      </c>
      <c r="E108" s="11" t="s">
        <v>684</v>
      </c>
      <c r="F108" s="11" t="s">
        <v>685</v>
      </c>
      <c r="G108" s="11" t="s">
        <v>302</v>
      </c>
      <c r="H108" s="11" t="s">
        <v>291</v>
      </c>
      <c r="I108" s="11" t="s">
        <v>292</v>
      </c>
      <c r="J108" s="15" t="s">
        <v>100</v>
      </c>
      <c r="K108" s="15" t="s">
        <v>101</v>
      </c>
      <c r="L108" s="15" t="n">
        <v>8</v>
      </c>
      <c r="M108" s="15" t="n">
        <v>12</v>
      </c>
      <c r="N108" s="11" t="str">
        <f aca="false">IF(M108&lt;=4,"R1 Foundation",IF(M108&lt;=8,"R2 Core Clinic",IF(M108&lt;=13,"R3 Revenue &amp; Messaging",IF(M108&lt;=18,"R4 Patient &amp; Platform",IF(M108&lt;=20,"R5 Harden","R6 Launch")))))</f>
        <v>R3 Revenue &amp; Messaging</v>
      </c>
      <c r="O108" s="16" t="n">
        <f aca="false">L108*README!$B$32</f>
        <v>4.8</v>
      </c>
      <c r="P108" s="11" t="s">
        <v>497</v>
      </c>
      <c r="Q108" s="11" t="s">
        <v>686</v>
      </c>
      <c r="R108" s="11" t="s">
        <v>103</v>
      </c>
      <c r="S108" s="11"/>
    </row>
    <row r="109" customFormat="false" ht="23.85" hidden="false" customHeight="false" outlineLevel="0" collapsed="false">
      <c r="A109" s="17" t="s">
        <v>687</v>
      </c>
      <c r="B109" s="17" t="s">
        <v>652</v>
      </c>
      <c r="C109" s="17" t="s">
        <v>653</v>
      </c>
      <c r="D109" s="17" t="s">
        <v>688</v>
      </c>
      <c r="E109" s="17" t="s">
        <v>689</v>
      </c>
      <c r="F109" s="17" t="s">
        <v>685</v>
      </c>
      <c r="G109" s="17" t="s">
        <v>374</v>
      </c>
      <c r="H109" s="17" t="s">
        <v>291</v>
      </c>
      <c r="I109" s="17" t="s">
        <v>292</v>
      </c>
      <c r="J109" s="18" t="s">
        <v>100</v>
      </c>
      <c r="K109" s="18" t="s">
        <v>101</v>
      </c>
      <c r="L109" s="18" t="n">
        <v>5</v>
      </c>
      <c r="M109" s="18" t="n">
        <v>13</v>
      </c>
      <c r="N109" s="17" t="str">
        <f aca="false">IF(M109&lt;=4,"R1 Foundation",IF(M109&lt;=8,"R2 Core Clinic",IF(M109&lt;=13,"R3 Revenue &amp; Messaging",IF(M109&lt;=18,"R4 Patient &amp; Platform",IF(M109&lt;=20,"R5 Harden","R6 Launch")))))</f>
        <v>R3 Revenue &amp; Messaging</v>
      </c>
      <c r="O109" s="19" t="n">
        <f aca="false">L109*README!$B$32</f>
        <v>3</v>
      </c>
      <c r="P109" s="17" t="s">
        <v>690</v>
      </c>
      <c r="Q109" s="17" t="s">
        <v>691</v>
      </c>
      <c r="R109" s="17" t="s">
        <v>103</v>
      </c>
      <c r="S109" s="17"/>
    </row>
    <row r="110" customFormat="false" ht="23.85" hidden="false" customHeight="false" outlineLevel="0" collapsed="false">
      <c r="A110" s="11" t="s">
        <v>692</v>
      </c>
      <c r="B110" s="11" t="s">
        <v>652</v>
      </c>
      <c r="C110" s="11" t="s">
        <v>653</v>
      </c>
      <c r="D110" s="11" t="s">
        <v>693</v>
      </c>
      <c r="E110" s="11" t="s">
        <v>694</v>
      </c>
      <c r="F110" s="11" t="s">
        <v>695</v>
      </c>
      <c r="G110" s="11" t="s">
        <v>374</v>
      </c>
      <c r="H110" s="11" t="s">
        <v>291</v>
      </c>
      <c r="I110" s="11" t="s">
        <v>292</v>
      </c>
      <c r="J110" s="15" t="s">
        <v>100</v>
      </c>
      <c r="K110" s="15" t="s">
        <v>101</v>
      </c>
      <c r="L110" s="15" t="n">
        <v>8</v>
      </c>
      <c r="M110" s="15" t="n">
        <v>12</v>
      </c>
      <c r="N110" s="11" t="str">
        <f aca="false">IF(M110&lt;=4,"R1 Foundation",IF(M110&lt;=8,"R2 Core Clinic",IF(M110&lt;=13,"R3 Revenue &amp; Messaging",IF(M110&lt;=18,"R4 Patient &amp; Platform",IF(M110&lt;=20,"R5 Harden","R6 Launch")))))</f>
        <v>R3 Revenue &amp; Messaging</v>
      </c>
      <c r="O110" s="16" t="n">
        <f aca="false">L110*README!$B$32</f>
        <v>4.8</v>
      </c>
      <c r="P110" s="11" t="s">
        <v>696</v>
      </c>
      <c r="Q110" s="11" t="s">
        <v>697</v>
      </c>
      <c r="R110" s="11" t="s">
        <v>103</v>
      </c>
      <c r="S110" s="11"/>
    </row>
    <row r="111" customFormat="false" ht="23.85" hidden="false" customHeight="false" outlineLevel="0" collapsed="false">
      <c r="A111" s="17" t="s">
        <v>698</v>
      </c>
      <c r="B111" s="17" t="s">
        <v>652</v>
      </c>
      <c r="C111" s="17" t="s">
        <v>653</v>
      </c>
      <c r="D111" s="17" t="s">
        <v>699</v>
      </c>
      <c r="E111" s="17" t="s">
        <v>700</v>
      </c>
      <c r="F111" s="17" t="s">
        <v>701</v>
      </c>
      <c r="G111" s="17" t="s">
        <v>374</v>
      </c>
      <c r="H111" s="17" t="s">
        <v>291</v>
      </c>
      <c r="I111" s="17" t="s">
        <v>292</v>
      </c>
      <c r="J111" s="18" t="s">
        <v>100</v>
      </c>
      <c r="K111" s="18" t="s">
        <v>101</v>
      </c>
      <c r="L111" s="18" t="n">
        <v>5</v>
      </c>
      <c r="M111" s="18" t="n">
        <v>13</v>
      </c>
      <c r="N111" s="17" t="str">
        <f aca="false">IF(M111&lt;=4,"R1 Foundation",IF(M111&lt;=8,"R2 Core Clinic",IF(M111&lt;=13,"R3 Revenue &amp; Messaging",IF(M111&lt;=18,"R4 Patient &amp; Platform",IF(M111&lt;=20,"R5 Harden","R6 Launch")))))</f>
        <v>R3 Revenue &amp; Messaging</v>
      </c>
      <c r="O111" s="19" t="n">
        <f aca="false">L111*README!$B$32</f>
        <v>3</v>
      </c>
      <c r="P111" s="17" t="s">
        <v>692</v>
      </c>
      <c r="Q111" s="17" t="s">
        <v>702</v>
      </c>
      <c r="R111" s="17" t="s">
        <v>103</v>
      </c>
      <c r="S111" s="17"/>
    </row>
    <row r="112" customFormat="false" ht="23.85" hidden="false" customHeight="false" outlineLevel="0" collapsed="false">
      <c r="A112" s="11" t="s">
        <v>703</v>
      </c>
      <c r="B112" s="11" t="s">
        <v>652</v>
      </c>
      <c r="C112" s="11" t="s">
        <v>653</v>
      </c>
      <c r="D112" s="11" t="s">
        <v>704</v>
      </c>
      <c r="E112" s="11" t="s">
        <v>705</v>
      </c>
      <c r="F112" s="11" t="s">
        <v>155</v>
      </c>
      <c r="G112" s="11" t="s">
        <v>374</v>
      </c>
      <c r="H112" s="11" t="s">
        <v>291</v>
      </c>
      <c r="I112" s="11" t="s">
        <v>114</v>
      </c>
      <c r="J112" s="15" t="s">
        <v>100</v>
      </c>
      <c r="K112" s="15" t="s">
        <v>101</v>
      </c>
      <c r="L112" s="15" t="n">
        <v>5</v>
      </c>
      <c r="M112" s="15" t="n">
        <v>13</v>
      </c>
      <c r="N112" s="11" t="str">
        <f aca="false">IF(M112&lt;=4,"R1 Foundation",IF(M112&lt;=8,"R2 Core Clinic",IF(M112&lt;=13,"R3 Revenue &amp; Messaging",IF(M112&lt;=18,"R4 Patient &amp; Platform",IF(M112&lt;=20,"R5 Harden","R6 Launch")))))</f>
        <v>R3 Revenue &amp; Messaging</v>
      </c>
      <c r="O112" s="16" t="n">
        <f aca="false">L112*README!$B$32</f>
        <v>3</v>
      </c>
      <c r="P112" s="11" t="s">
        <v>706</v>
      </c>
      <c r="Q112" s="11" t="s">
        <v>707</v>
      </c>
      <c r="R112" s="11" t="s">
        <v>103</v>
      </c>
      <c r="S112" s="11"/>
    </row>
    <row r="113" customFormat="false" ht="23.85" hidden="false" customHeight="false" outlineLevel="0" collapsed="false">
      <c r="A113" s="17" t="s">
        <v>708</v>
      </c>
      <c r="B113" s="17" t="s">
        <v>652</v>
      </c>
      <c r="C113" s="17" t="s">
        <v>653</v>
      </c>
      <c r="D113" s="17" t="s">
        <v>709</v>
      </c>
      <c r="E113" s="17" t="s">
        <v>710</v>
      </c>
      <c r="F113" s="17" t="s">
        <v>678</v>
      </c>
      <c r="G113" s="17" t="s">
        <v>374</v>
      </c>
      <c r="H113" s="17" t="s">
        <v>291</v>
      </c>
      <c r="I113" s="17" t="s">
        <v>292</v>
      </c>
      <c r="J113" s="18" t="s">
        <v>100</v>
      </c>
      <c r="K113" s="18" t="s">
        <v>101</v>
      </c>
      <c r="L113" s="18" t="n">
        <v>8</v>
      </c>
      <c r="M113" s="18" t="n">
        <v>14</v>
      </c>
      <c r="N113" s="17" t="str">
        <f aca="false">IF(M113&lt;=4,"R1 Foundation",IF(M113&lt;=8,"R2 Core Clinic",IF(M113&lt;=13,"R3 Revenue &amp; Messaging",IF(M113&lt;=18,"R4 Patient &amp; Platform",IF(M113&lt;=20,"R5 Harden","R6 Launch")))))</f>
        <v>R4 Patient &amp; Platform</v>
      </c>
      <c r="O113" s="19" t="n">
        <f aca="false">L113*README!$B$32</f>
        <v>4.8</v>
      </c>
      <c r="P113" s="17" t="s">
        <v>711</v>
      </c>
      <c r="Q113" s="17" t="s">
        <v>712</v>
      </c>
      <c r="R113" s="17" t="s">
        <v>103</v>
      </c>
      <c r="S113" s="17"/>
    </row>
    <row r="114" customFormat="false" ht="23.85" hidden="false" customHeight="false" outlineLevel="0" collapsed="false">
      <c r="A114" s="11" t="s">
        <v>713</v>
      </c>
      <c r="B114" s="11" t="s">
        <v>652</v>
      </c>
      <c r="C114" s="11" t="s">
        <v>653</v>
      </c>
      <c r="D114" s="11" t="s">
        <v>714</v>
      </c>
      <c r="E114" s="11" t="s">
        <v>715</v>
      </c>
      <c r="F114" s="11" t="s">
        <v>716</v>
      </c>
      <c r="G114" s="11" t="s">
        <v>374</v>
      </c>
      <c r="H114" s="11" t="s">
        <v>291</v>
      </c>
      <c r="I114" s="11" t="s">
        <v>292</v>
      </c>
      <c r="J114" s="15" t="s">
        <v>100</v>
      </c>
      <c r="K114" s="15" t="s">
        <v>101</v>
      </c>
      <c r="L114" s="15" t="n">
        <v>5</v>
      </c>
      <c r="M114" s="15" t="n">
        <v>14</v>
      </c>
      <c r="N114" s="11" t="str">
        <f aca="false">IF(M114&lt;=4,"R1 Foundation",IF(M114&lt;=8,"R2 Core Clinic",IF(M114&lt;=13,"R3 Revenue &amp; Messaging",IF(M114&lt;=18,"R4 Patient &amp; Platform",IF(M114&lt;=20,"R5 Harden","R6 Launch")))))</f>
        <v>R4 Patient &amp; Platform</v>
      </c>
      <c r="O114" s="16" t="n">
        <f aca="false">L114*README!$B$32</f>
        <v>3</v>
      </c>
      <c r="P114" s="11" t="s">
        <v>692</v>
      </c>
      <c r="Q114" s="11" t="s">
        <v>717</v>
      </c>
      <c r="R114" s="11" t="s">
        <v>103</v>
      </c>
      <c r="S114" s="11"/>
    </row>
    <row r="115" customFormat="false" ht="23.85" hidden="false" customHeight="false" outlineLevel="0" collapsed="false">
      <c r="A115" s="17" t="s">
        <v>718</v>
      </c>
      <c r="B115" s="17" t="s">
        <v>652</v>
      </c>
      <c r="C115" s="17" t="s">
        <v>653</v>
      </c>
      <c r="D115" s="17" t="s">
        <v>719</v>
      </c>
      <c r="E115" s="17" t="s">
        <v>720</v>
      </c>
      <c r="F115" s="17" t="s">
        <v>721</v>
      </c>
      <c r="G115" s="17" t="s">
        <v>374</v>
      </c>
      <c r="H115" s="17" t="s">
        <v>291</v>
      </c>
      <c r="I115" s="17" t="s">
        <v>292</v>
      </c>
      <c r="J115" s="18" t="s">
        <v>130</v>
      </c>
      <c r="K115" s="18" t="s">
        <v>101</v>
      </c>
      <c r="L115" s="18" t="n">
        <v>5</v>
      </c>
      <c r="M115" s="18" t="n">
        <v>14</v>
      </c>
      <c r="N115" s="17" t="str">
        <f aca="false">IF(M115&lt;=4,"R1 Foundation",IF(M115&lt;=8,"R2 Core Clinic",IF(M115&lt;=13,"R3 Revenue &amp; Messaging",IF(M115&lt;=18,"R4 Patient &amp; Platform",IF(M115&lt;=20,"R5 Harden","R6 Launch")))))</f>
        <v>R4 Patient &amp; Platform</v>
      </c>
      <c r="O115" s="19" t="n">
        <f aca="false">L115*README!$B$32</f>
        <v>3</v>
      </c>
      <c r="P115" s="17" t="s">
        <v>692</v>
      </c>
      <c r="Q115" s="17" t="s">
        <v>722</v>
      </c>
      <c r="R115" s="17" t="s">
        <v>103</v>
      </c>
      <c r="S115" s="17"/>
    </row>
    <row r="116" customFormat="false" ht="23.85" hidden="false" customHeight="false" outlineLevel="0" collapsed="false">
      <c r="A116" s="11" t="s">
        <v>723</v>
      </c>
      <c r="B116" s="11" t="s">
        <v>652</v>
      </c>
      <c r="C116" s="11" t="s">
        <v>653</v>
      </c>
      <c r="D116" s="11" t="s">
        <v>724</v>
      </c>
      <c r="E116" s="11" t="s">
        <v>725</v>
      </c>
      <c r="F116" s="11"/>
      <c r="G116" s="11" t="s">
        <v>302</v>
      </c>
      <c r="H116" s="11" t="s">
        <v>291</v>
      </c>
      <c r="I116" s="11" t="s">
        <v>292</v>
      </c>
      <c r="J116" s="15" t="s">
        <v>100</v>
      </c>
      <c r="K116" s="15" t="s">
        <v>101</v>
      </c>
      <c r="L116" s="15" t="n">
        <v>5</v>
      </c>
      <c r="M116" s="15" t="n">
        <v>13</v>
      </c>
      <c r="N116" s="11" t="str">
        <f aca="false">IF(M116&lt;=4,"R1 Foundation",IF(M116&lt;=8,"R2 Core Clinic",IF(M116&lt;=13,"R3 Revenue &amp; Messaging",IF(M116&lt;=18,"R4 Patient &amp; Platform",IF(M116&lt;=20,"R5 Harden","R6 Launch")))))</f>
        <v>R3 Revenue &amp; Messaging</v>
      </c>
      <c r="O116" s="16" t="n">
        <f aca="false">L116*README!$B$32</f>
        <v>3</v>
      </c>
      <c r="P116" s="11" t="s">
        <v>726</v>
      </c>
      <c r="Q116" s="11" t="s">
        <v>727</v>
      </c>
      <c r="R116" s="11" t="s">
        <v>103</v>
      </c>
      <c r="S116" s="11"/>
    </row>
    <row r="117" customFormat="false" ht="23.85" hidden="false" customHeight="false" outlineLevel="0" collapsed="false">
      <c r="A117" s="17" t="s">
        <v>728</v>
      </c>
      <c r="B117" s="17" t="s">
        <v>652</v>
      </c>
      <c r="C117" s="17" t="s">
        <v>653</v>
      </c>
      <c r="D117" s="17" t="s">
        <v>729</v>
      </c>
      <c r="E117" s="17" t="s">
        <v>730</v>
      </c>
      <c r="F117" s="17" t="s">
        <v>731</v>
      </c>
      <c r="G117" s="17" t="s">
        <v>156</v>
      </c>
      <c r="H117" s="17" t="s">
        <v>291</v>
      </c>
      <c r="I117" s="17" t="s">
        <v>292</v>
      </c>
      <c r="J117" s="18" t="s">
        <v>100</v>
      </c>
      <c r="K117" s="18" t="s">
        <v>101</v>
      </c>
      <c r="L117" s="18" t="n">
        <v>8</v>
      </c>
      <c r="M117" s="18" t="n">
        <v>14</v>
      </c>
      <c r="N117" s="17" t="str">
        <f aca="false">IF(M117&lt;=4,"R1 Foundation",IF(M117&lt;=8,"R2 Core Clinic",IF(M117&lt;=13,"R3 Revenue &amp; Messaging",IF(M117&lt;=18,"R4 Patient &amp; Platform",IF(M117&lt;=20,"R5 Harden","R6 Launch")))))</f>
        <v>R4 Patient &amp; Platform</v>
      </c>
      <c r="O117" s="19" t="n">
        <f aca="false">L117*README!$B$32</f>
        <v>4.8</v>
      </c>
      <c r="P117" s="17" t="s">
        <v>732</v>
      </c>
      <c r="Q117" s="17" t="s">
        <v>733</v>
      </c>
      <c r="R117" s="17" t="s">
        <v>103</v>
      </c>
      <c r="S117" s="17"/>
    </row>
    <row r="118" customFormat="false" ht="23.85" hidden="false" customHeight="false" outlineLevel="0" collapsed="false">
      <c r="A118" s="11" t="s">
        <v>734</v>
      </c>
      <c r="B118" s="11" t="s">
        <v>652</v>
      </c>
      <c r="C118" s="11" t="s">
        <v>653</v>
      </c>
      <c r="D118" s="11" t="s">
        <v>735</v>
      </c>
      <c r="E118" s="11" t="s">
        <v>736</v>
      </c>
      <c r="F118" s="11" t="s">
        <v>737</v>
      </c>
      <c r="G118" s="11" t="s">
        <v>374</v>
      </c>
      <c r="H118" s="11" t="s">
        <v>291</v>
      </c>
      <c r="I118" s="11" t="s">
        <v>292</v>
      </c>
      <c r="J118" s="15" t="s">
        <v>100</v>
      </c>
      <c r="K118" s="15" t="s">
        <v>101</v>
      </c>
      <c r="L118" s="15" t="n">
        <v>5</v>
      </c>
      <c r="M118" s="15" t="n">
        <v>15</v>
      </c>
      <c r="N118" s="11" t="str">
        <f aca="false">IF(M118&lt;=4,"R1 Foundation",IF(M118&lt;=8,"R2 Core Clinic",IF(M118&lt;=13,"R3 Revenue &amp; Messaging",IF(M118&lt;=18,"R4 Patient &amp; Platform",IF(M118&lt;=20,"R5 Harden","R6 Launch")))))</f>
        <v>R4 Patient &amp; Platform</v>
      </c>
      <c r="O118" s="16" t="n">
        <f aca="false">L118*README!$B$32</f>
        <v>3</v>
      </c>
      <c r="P118" s="11" t="s">
        <v>738</v>
      </c>
      <c r="Q118" s="11" t="s">
        <v>739</v>
      </c>
      <c r="R118" s="11" t="s">
        <v>103</v>
      </c>
      <c r="S118" s="11"/>
    </row>
    <row r="119" customFormat="false" ht="23.85" hidden="false" customHeight="false" outlineLevel="0" collapsed="false">
      <c r="A119" s="17" t="s">
        <v>740</v>
      </c>
      <c r="B119" s="17" t="s">
        <v>652</v>
      </c>
      <c r="C119" s="17" t="s">
        <v>653</v>
      </c>
      <c r="D119" s="17" t="s">
        <v>741</v>
      </c>
      <c r="E119" s="17" t="s">
        <v>742</v>
      </c>
      <c r="F119" s="17" t="s">
        <v>743</v>
      </c>
      <c r="G119" s="17" t="s">
        <v>374</v>
      </c>
      <c r="H119" s="17" t="s">
        <v>291</v>
      </c>
      <c r="I119" s="17" t="s">
        <v>292</v>
      </c>
      <c r="J119" s="18" t="s">
        <v>130</v>
      </c>
      <c r="K119" s="18" t="s">
        <v>101</v>
      </c>
      <c r="L119" s="18" t="n">
        <v>5</v>
      </c>
      <c r="M119" s="18" t="n">
        <v>15</v>
      </c>
      <c r="N119" s="17" t="str">
        <f aca="false">IF(M119&lt;=4,"R1 Foundation",IF(M119&lt;=8,"R2 Core Clinic",IF(M119&lt;=13,"R3 Revenue &amp; Messaging",IF(M119&lt;=18,"R4 Patient &amp; Platform",IF(M119&lt;=20,"R5 Harden","R6 Launch")))))</f>
        <v>R4 Patient &amp; Platform</v>
      </c>
      <c r="O119" s="19" t="n">
        <f aca="false">L119*README!$B$32</f>
        <v>3</v>
      </c>
      <c r="P119" s="17" t="s">
        <v>734</v>
      </c>
      <c r="Q119" s="17" t="s">
        <v>744</v>
      </c>
      <c r="R119" s="17" t="s">
        <v>103</v>
      </c>
      <c r="S119" s="17"/>
    </row>
    <row r="120" customFormat="false" ht="23.85" hidden="false" customHeight="false" outlineLevel="0" collapsed="false">
      <c r="A120" s="11" t="s">
        <v>745</v>
      </c>
      <c r="B120" s="11" t="s">
        <v>652</v>
      </c>
      <c r="C120" s="11" t="s">
        <v>653</v>
      </c>
      <c r="D120" s="11" t="s">
        <v>746</v>
      </c>
      <c r="E120" s="11" t="s">
        <v>747</v>
      </c>
      <c r="F120" s="11" t="s">
        <v>748</v>
      </c>
      <c r="G120" s="11" t="s">
        <v>302</v>
      </c>
      <c r="H120" s="11" t="s">
        <v>291</v>
      </c>
      <c r="I120" s="11" t="s">
        <v>292</v>
      </c>
      <c r="J120" s="15" t="s">
        <v>100</v>
      </c>
      <c r="K120" s="15" t="s">
        <v>101</v>
      </c>
      <c r="L120" s="15" t="n">
        <v>5</v>
      </c>
      <c r="M120" s="15" t="n">
        <v>15</v>
      </c>
      <c r="N120" s="11" t="str">
        <f aca="false">IF(M120&lt;=4,"R1 Foundation",IF(M120&lt;=8,"R2 Core Clinic",IF(M120&lt;=13,"R3 Revenue &amp; Messaging",IF(M120&lt;=18,"R4 Patient &amp; Platform",IF(M120&lt;=20,"R5 Harden","R6 Launch")))))</f>
        <v>R4 Patient &amp; Platform</v>
      </c>
      <c r="O120" s="16" t="n">
        <f aca="false">L120*README!$B$32</f>
        <v>3</v>
      </c>
      <c r="P120" s="11" t="s">
        <v>749</v>
      </c>
      <c r="Q120" s="11" t="s">
        <v>750</v>
      </c>
      <c r="R120" s="11" t="s">
        <v>103</v>
      </c>
      <c r="S120" s="11"/>
    </row>
    <row r="121" customFormat="false" ht="23.85" hidden="false" customHeight="false" outlineLevel="0" collapsed="false">
      <c r="A121" s="17" t="s">
        <v>751</v>
      </c>
      <c r="B121" s="17" t="s">
        <v>652</v>
      </c>
      <c r="C121" s="17" t="s">
        <v>653</v>
      </c>
      <c r="D121" s="17" t="s">
        <v>752</v>
      </c>
      <c r="E121" s="17" t="s">
        <v>753</v>
      </c>
      <c r="F121" s="17" t="s">
        <v>754</v>
      </c>
      <c r="G121" s="17" t="s">
        <v>357</v>
      </c>
      <c r="H121" s="17" t="s">
        <v>291</v>
      </c>
      <c r="I121" s="17" t="s">
        <v>168</v>
      </c>
      <c r="J121" s="18" t="s">
        <v>130</v>
      </c>
      <c r="K121" s="18" t="s">
        <v>101</v>
      </c>
      <c r="L121" s="18" t="n">
        <v>3</v>
      </c>
      <c r="M121" s="18" t="n">
        <v>15</v>
      </c>
      <c r="N121" s="17" t="str">
        <f aca="false">IF(M121&lt;=4,"R1 Foundation",IF(M121&lt;=8,"R2 Core Clinic",IF(M121&lt;=13,"R3 Revenue &amp; Messaging",IF(M121&lt;=18,"R4 Patient &amp; Platform",IF(M121&lt;=20,"R5 Harden","R6 Launch")))))</f>
        <v>R4 Patient &amp; Platform</v>
      </c>
      <c r="O121" s="19" t="n">
        <f aca="false">L121*README!$B$32</f>
        <v>1.8</v>
      </c>
      <c r="P121" s="17" t="s">
        <v>659</v>
      </c>
      <c r="Q121" s="17" t="s">
        <v>755</v>
      </c>
      <c r="R121" s="17" t="s">
        <v>103</v>
      </c>
      <c r="S121" s="17"/>
    </row>
    <row r="122" customFormat="false" ht="23.85" hidden="false" customHeight="false" outlineLevel="0" collapsed="false">
      <c r="A122" s="11" t="s">
        <v>756</v>
      </c>
      <c r="B122" s="11" t="s">
        <v>757</v>
      </c>
      <c r="C122" s="11" t="s">
        <v>758</v>
      </c>
      <c r="D122" s="11" t="s">
        <v>759</v>
      </c>
      <c r="E122" s="11" t="s">
        <v>760</v>
      </c>
      <c r="F122" s="11" t="s">
        <v>409</v>
      </c>
      <c r="G122" s="11" t="s">
        <v>374</v>
      </c>
      <c r="H122" s="11" t="s">
        <v>291</v>
      </c>
      <c r="I122" s="11" t="s">
        <v>292</v>
      </c>
      <c r="J122" s="15" t="s">
        <v>100</v>
      </c>
      <c r="K122" s="15" t="s">
        <v>101</v>
      </c>
      <c r="L122" s="15" t="n">
        <v>8</v>
      </c>
      <c r="M122" s="15" t="n">
        <v>14</v>
      </c>
      <c r="N122" s="11" t="str">
        <f aca="false">IF(M122&lt;=4,"R1 Foundation",IF(M122&lt;=8,"R2 Core Clinic",IF(M122&lt;=13,"R3 Revenue &amp; Messaging",IF(M122&lt;=18,"R4 Patient &amp; Platform",IF(M122&lt;=20,"R5 Harden","R6 Launch")))))</f>
        <v>R4 Patient &amp; Platform</v>
      </c>
      <c r="O122" s="16" t="n">
        <f aca="false">L122*README!$B$32</f>
        <v>4.8</v>
      </c>
      <c r="P122" s="11" t="s">
        <v>761</v>
      </c>
      <c r="Q122" s="11" t="s">
        <v>762</v>
      </c>
      <c r="R122" s="11" t="s">
        <v>103</v>
      </c>
      <c r="S122" s="11"/>
    </row>
    <row r="123" customFormat="false" ht="23.85" hidden="false" customHeight="false" outlineLevel="0" collapsed="false">
      <c r="A123" s="17" t="s">
        <v>763</v>
      </c>
      <c r="B123" s="17" t="s">
        <v>757</v>
      </c>
      <c r="C123" s="17" t="s">
        <v>758</v>
      </c>
      <c r="D123" s="17" t="s">
        <v>764</v>
      </c>
      <c r="E123" s="17" t="s">
        <v>765</v>
      </c>
      <c r="F123" s="17" t="s">
        <v>754</v>
      </c>
      <c r="G123" s="17" t="s">
        <v>374</v>
      </c>
      <c r="H123" s="17" t="s">
        <v>291</v>
      </c>
      <c r="I123" s="17" t="s">
        <v>292</v>
      </c>
      <c r="J123" s="18" t="s">
        <v>100</v>
      </c>
      <c r="K123" s="18" t="s">
        <v>101</v>
      </c>
      <c r="L123" s="18" t="n">
        <v>13</v>
      </c>
      <c r="M123" s="18" t="n">
        <v>15</v>
      </c>
      <c r="N123" s="17" t="str">
        <f aca="false">IF(M123&lt;=4,"R1 Foundation",IF(M123&lt;=8,"R2 Core Clinic",IF(M123&lt;=13,"R3 Revenue &amp; Messaging",IF(M123&lt;=18,"R4 Patient &amp; Platform",IF(M123&lt;=20,"R5 Harden","R6 Launch")))))</f>
        <v>R4 Patient &amp; Platform</v>
      </c>
      <c r="O123" s="19" t="n">
        <f aca="false">L123*README!$B$32</f>
        <v>7.8</v>
      </c>
      <c r="P123" s="17" t="s">
        <v>766</v>
      </c>
      <c r="Q123" s="17" t="s">
        <v>767</v>
      </c>
      <c r="R123" s="17" t="s">
        <v>103</v>
      </c>
      <c r="S123" s="17"/>
    </row>
    <row r="124" customFormat="false" ht="23.85" hidden="false" customHeight="false" outlineLevel="0" collapsed="false">
      <c r="A124" s="11" t="s">
        <v>768</v>
      </c>
      <c r="B124" s="11" t="s">
        <v>757</v>
      </c>
      <c r="C124" s="11" t="s">
        <v>758</v>
      </c>
      <c r="D124" s="11" t="s">
        <v>769</v>
      </c>
      <c r="E124" s="11" t="s">
        <v>770</v>
      </c>
      <c r="F124" s="11" t="s">
        <v>771</v>
      </c>
      <c r="G124" s="11" t="s">
        <v>374</v>
      </c>
      <c r="H124" s="11" t="s">
        <v>291</v>
      </c>
      <c r="I124" s="11" t="s">
        <v>292</v>
      </c>
      <c r="J124" s="15" t="s">
        <v>100</v>
      </c>
      <c r="K124" s="15" t="s">
        <v>101</v>
      </c>
      <c r="L124" s="15" t="n">
        <v>8</v>
      </c>
      <c r="M124" s="15" t="n">
        <v>16</v>
      </c>
      <c r="N124" s="11" t="str">
        <f aca="false">IF(M124&lt;=4,"R1 Foundation",IF(M124&lt;=8,"R2 Core Clinic",IF(M124&lt;=13,"R3 Revenue &amp; Messaging",IF(M124&lt;=18,"R4 Patient &amp; Platform",IF(M124&lt;=20,"R5 Harden","R6 Launch")))))</f>
        <v>R4 Patient &amp; Platform</v>
      </c>
      <c r="O124" s="16" t="n">
        <f aca="false">L124*README!$B$32</f>
        <v>4.8</v>
      </c>
      <c r="P124" s="11" t="s">
        <v>772</v>
      </c>
      <c r="Q124" s="11" t="s">
        <v>773</v>
      </c>
      <c r="R124" s="11" t="s">
        <v>103</v>
      </c>
      <c r="S124" s="11"/>
    </row>
    <row r="125" customFormat="false" ht="23.85" hidden="false" customHeight="false" outlineLevel="0" collapsed="false">
      <c r="A125" s="17" t="s">
        <v>774</v>
      </c>
      <c r="B125" s="17" t="s">
        <v>757</v>
      </c>
      <c r="C125" s="17" t="s">
        <v>758</v>
      </c>
      <c r="D125" s="17" t="s">
        <v>775</v>
      </c>
      <c r="E125" s="17" t="s">
        <v>776</v>
      </c>
      <c r="F125" s="17" t="s">
        <v>777</v>
      </c>
      <c r="G125" s="17" t="s">
        <v>374</v>
      </c>
      <c r="H125" s="17" t="s">
        <v>291</v>
      </c>
      <c r="I125" s="17" t="s">
        <v>292</v>
      </c>
      <c r="J125" s="18" t="s">
        <v>130</v>
      </c>
      <c r="K125" s="18" t="s">
        <v>101</v>
      </c>
      <c r="L125" s="18" t="n">
        <v>8</v>
      </c>
      <c r="M125" s="18" t="n">
        <v>16</v>
      </c>
      <c r="N125" s="17" t="str">
        <f aca="false">IF(M125&lt;=4,"R1 Foundation",IF(M125&lt;=8,"R2 Core Clinic",IF(M125&lt;=13,"R3 Revenue &amp; Messaging",IF(M125&lt;=18,"R4 Patient &amp; Platform",IF(M125&lt;=20,"R5 Harden","R6 Launch")))))</f>
        <v>R4 Patient &amp; Platform</v>
      </c>
      <c r="O125" s="19" t="n">
        <f aca="false">L125*README!$B$32</f>
        <v>4.8</v>
      </c>
      <c r="P125" s="17" t="s">
        <v>763</v>
      </c>
      <c r="Q125" s="17" t="s">
        <v>778</v>
      </c>
      <c r="R125" s="17" t="s">
        <v>103</v>
      </c>
      <c r="S125" s="17"/>
    </row>
    <row r="126" customFormat="false" ht="23.85" hidden="false" customHeight="false" outlineLevel="0" collapsed="false">
      <c r="A126" s="11" t="s">
        <v>779</v>
      </c>
      <c r="B126" s="11" t="s">
        <v>757</v>
      </c>
      <c r="C126" s="11" t="s">
        <v>758</v>
      </c>
      <c r="D126" s="11" t="s">
        <v>780</v>
      </c>
      <c r="E126" s="11" t="s">
        <v>781</v>
      </c>
      <c r="F126" s="11" t="s">
        <v>782</v>
      </c>
      <c r="G126" s="11" t="s">
        <v>374</v>
      </c>
      <c r="H126" s="11" t="s">
        <v>291</v>
      </c>
      <c r="I126" s="11" t="s">
        <v>292</v>
      </c>
      <c r="J126" s="15" t="s">
        <v>130</v>
      </c>
      <c r="K126" s="15" t="s">
        <v>211</v>
      </c>
      <c r="L126" s="15" t="n">
        <v>8</v>
      </c>
      <c r="M126" s="15" t="n">
        <v>17</v>
      </c>
      <c r="N126" s="11" t="str">
        <f aca="false">IF(M126&lt;=4,"R1 Foundation",IF(M126&lt;=8,"R2 Core Clinic",IF(M126&lt;=13,"R3 Revenue &amp; Messaging",IF(M126&lt;=18,"R4 Patient &amp; Platform",IF(M126&lt;=20,"R5 Harden","R6 Launch")))))</f>
        <v>R4 Patient &amp; Platform</v>
      </c>
      <c r="O126" s="16" t="n">
        <f aca="false">L126*README!$B$32</f>
        <v>4.8</v>
      </c>
      <c r="P126" s="11" t="s">
        <v>783</v>
      </c>
      <c r="Q126" s="11" t="s">
        <v>784</v>
      </c>
      <c r="R126" s="11" t="s">
        <v>103</v>
      </c>
      <c r="S126" s="11"/>
    </row>
    <row r="127" customFormat="false" ht="23.85" hidden="false" customHeight="false" outlineLevel="0" collapsed="false">
      <c r="A127" s="17" t="s">
        <v>785</v>
      </c>
      <c r="B127" s="17" t="s">
        <v>757</v>
      </c>
      <c r="C127" s="17" t="s">
        <v>758</v>
      </c>
      <c r="D127" s="17" t="s">
        <v>786</v>
      </c>
      <c r="E127" s="17" t="s">
        <v>787</v>
      </c>
      <c r="F127" s="17" t="s">
        <v>788</v>
      </c>
      <c r="G127" s="17" t="s">
        <v>156</v>
      </c>
      <c r="H127" s="17" t="s">
        <v>291</v>
      </c>
      <c r="I127" s="17" t="s">
        <v>292</v>
      </c>
      <c r="J127" s="18" t="s">
        <v>130</v>
      </c>
      <c r="K127" s="18" t="s">
        <v>211</v>
      </c>
      <c r="L127" s="18" t="n">
        <v>8</v>
      </c>
      <c r="M127" s="18" t="n">
        <v>17</v>
      </c>
      <c r="N127" s="17" t="str">
        <f aca="false">IF(M127&lt;=4,"R1 Foundation",IF(M127&lt;=8,"R2 Core Clinic",IF(M127&lt;=13,"R3 Revenue &amp; Messaging",IF(M127&lt;=18,"R4 Patient &amp; Platform",IF(M127&lt;=20,"R5 Harden","R6 Launch")))))</f>
        <v>R4 Patient &amp; Platform</v>
      </c>
      <c r="O127" s="19" t="n">
        <f aca="false">L127*README!$B$32</f>
        <v>4.8</v>
      </c>
      <c r="P127" s="17" t="s">
        <v>789</v>
      </c>
      <c r="Q127" s="17" t="s">
        <v>790</v>
      </c>
      <c r="R127" s="17" t="s">
        <v>103</v>
      </c>
      <c r="S127" s="17"/>
    </row>
    <row r="128" customFormat="false" ht="35.05" hidden="false" customHeight="false" outlineLevel="0" collapsed="false">
      <c r="A128" s="11" t="s">
        <v>791</v>
      </c>
      <c r="B128" s="11" t="s">
        <v>757</v>
      </c>
      <c r="C128" s="11" t="s">
        <v>758</v>
      </c>
      <c r="D128" s="11" t="s">
        <v>792</v>
      </c>
      <c r="E128" s="11" t="s">
        <v>793</v>
      </c>
      <c r="F128" s="11" t="s">
        <v>794</v>
      </c>
      <c r="G128" s="11" t="s">
        <v>374</v>
      </c>
      <c r="H128" s="11" t="s">
        <v>291</v>
      </c>
      <c r="I128" s="11" t="s">
        <v>292</v>
      </c>
      <c r="J128" s="15" t="s">
        <v>210</v>
      </c>
      <c r="K128" s="15" t="s">
        <v>460</v>
      </c>
      <c r="L128" s="15" t="n">
        <v>8</v>
      </c>
      <c r="M128" s="15" t="n">
        <v>22</v>
      </c>
      <c r="N128" s="11" t="str">
        <f aca="false">IF(M128&lt;=4,"R1 Foundation",IF(M128&lt;=8,"R2 Core Clinic",IF(M128&lt;=13,"R3 Revenue &amp; Messaging",IF(M128&lt;=18,"R4 Patient &amp; Platform",IF(M128&lt;=20,"R5 Harden","R6 Launch")))))</f>
        <v>R6 Launch</v>
      </c>
      <c r="O128" s="16" t="n">
        <f aca="false">L128*README!$B$32</f>
        <v>4.8</v>
      </c>
      <c r="P128" s="11" t="s">
        <v>763</v>
      </c>
      <c r="Q128" s="11" t="s">
        <v>795</v>
      </c>
      <c r="R128" s="11" t="s">
        <v>103</v>
      </c>
      <c r="S128" s="11"/>
    </row>
    <row r="129" customFormat="false" ht="23.85" hidden="false" customHeight="false" outlineLevel="0" collapsed="false">
      <c r="A129" s="17" t="s">
        <v>796</v>
      </c>
      <c r="B129" s="17" t="s">
        <v>757</v>
      </c>
      <c r="C129" s="17" t="s">
        <v>758</v>
      </c>
      <c r="D129" s="17" t="s">
        <v>797</v>
      </c>
      <c r="E129" s="17" t="s">
        <v>798</v>
      </c>
      <c r="F129" s="17" t="s">
        <v>799</v>
      </c>
      <c r="G129" s="17" t="s">
        <v>374</v>
      </c>
      <c r="H129" s="17" t="s">
        <v>291</v>
      </c>
      <c r="I129" s="17" t="s">
        <v>292</v>
      </c>
      <c r="J129" s="18" t="s">
        <v>100</v>
      </c>
      <c r="K129" s="18" t="s">
        <v>101</v>
      </c>
      <c r="L129" s="18" t="n">
        <v>8</v>
      </c>
      <c r="M129" s="18" t="n">
        <v>16</v>
      </c>
      <c r="N129" s="17" t="str">
        <f aca="false">IF(M129&lt;=4,"R1 Foundation",IF(M129&lt;=8,"R2 Core Clinic",IF(M129&lt;=13,"R3 Revenue &amp; Messaging",IF(M129&lt;=18,"R4 Patient &amp; Platform",IF(M129&lt;=20,"R5 Harden","R6 Launch")))))</f>
        <v>R4 Patient &amp; Platform</v>
      </c>
      <c r="O129" s="19" t="n">
        <f aca="false">L129*README!$B$32</f>
        <v>4.8</v>
      </c>
      <c r="P129" s="17" t="s">
        <v>766</v>
      </c>
      <c r="Q129" s="17" t="s">
        <v>800</v>
      </c>
      <c r="R129" s="17" t="s">
        <v>103</v>
      </c>
      <c r="S129" s="17"/>
    </row>
    <row r="130" customFormat="false" ht="23.85" hidden="false" customHeight="false" outlineLevel="0" collapsed="false">
      <c r="A130" s="11" t="s">
        <v>801</v>
      </c>
      <c r="B130" s="11" t="s">
        <v>757</v>
      </c>
      <c r="C130" s="11" t="s">
        <v>758</v>
      </c>
      <c r="D130" s="11" t="s">
        <v>802</v>
      </c>
      <c r="E130" s="11" t="s">
        <v>803</v>
      </c>
      <c r="F130" s="11" t="s">
        <v>799</v>
      </c>
      <c r="G130" s="11" t="s">
        <v>156</v>
      </c>
      <c r="H130" s="11" t="s">
        <v>291</v>
      </c>
      <c r="I130" s="11" t="s">
        <v>114</v>
      </c>
      <c r="J130" s="15" t="s">
        <v>100</v>
      </c>
      <c r="K130" s="15" t="s">
        <v>101</v>
      </c>
      <c r="L130" s="15" t="n">
        <v>5</v>
      </c>
      <c r="M130" s="15" t="n">
        <v>16</v>
      </c>
      <c r="N130" s="11" t="str">
        <f aca="false">IF(M130&lt;=4,"R1 Foundation",IF(M130&lt;=8,"R2 Core Clinic",IF(M130&lt;=13,"R3 Revenue &amp; Messaging",IF(M130&lt;=18,"R4 Patient &amp; Platform",IF(M130&lt;=20,"R5 Harden","R6 Launch")))))</f>
        <v>R4 Patient &amp; Platform</v>
      </c>
      <c r="O130" s="16" t="n">
        <f aca="false">L130*README!$B$32</f>
        <v>3</v>
      </c>
      <c r="P130" s="11" t="s">
        <v>804</v>
      </c>
      <c r="Q130" s="11" t="s">
        <v>805</v>
      </c>
      <c r="R130" s="11" t="s">
        <v>103</v>
      </c>
      <c r="S130" s="11"/>
    </row>
    <row r="131" customFormat="false" ht="23.85" hidden="false" customHeight="false" outlineLevel="0" collapsed="false">
      <c r="A131" s="17" t="s">
        <v>806</v>
      </c>
      <c r="B131" s="17" t="s">
        <v>757</v>
      </c>
      <c r="C131" s="17" t="s">
        <v>758</v>
      </c>
      <c r="D131" s="17" t="s">
        <v>807</v>
      </c>
      <c r="E131" s="17" t="s">
        <v>808</v>
      </c>
      <c r="F131" s="17" t="s">
        <v>809</v>
      </c>
      <c r="G131" s="17" t="s">
        <v>810</v>
      </c>
      <c r="H131" s="17" t="s">
        <v>310</v>
      </c>
      <c r="I131" s="17" t="s">
        <v>292</v>
      </c>
      <c r="J131" s="18" t="s">
        <v>130</v>
      </c>
      <c r="K131" s="18" t="s">
        <v>211</v>
      </c>
      <c r="L131" s="18" t="n">
        <v>5</v>
      </c>
      <c r="M131" s="18" t="n">
        <v>18</v>
      </c>
      <c r="N131" s="17" t="str">
        <f aca="false">IF(M131&lt;=4,"R1 Foundation",IF(M131&lt;=8,"R2 Core Clinic",IF(M131&lt;=13,"R3 Revenue &amp; Messaging",IF(M131&lt;=18,"R4 Patient &amp; Platform",IF(M131&lt;=20,"R5 Harden","R6 Launch")))))</f>
        <v>R4 Patient &amp; Platform</v>
      </c>
      <c r="O131" s="19" t="n">
        <f aca="false">L131*README!$B$32</f>
        <v>3</v>
      </c>
      <c r="P131" s="17" t="s">
        <v>811</v>
      </c>
      <c r="Q131" s="17" t="s">
        <v>812</v>
      </c>
      <c r="R131" s="17" t="s">
        <v>103</v>
      </c>
      <c r="S131" s="17"/>
    </row>
    <row r="132" customFormat="false" ht="23.85" hidden="false" customHeight="false" outlineLevel="0" collapsed="false">
      <c r="A132" s="11" t="s">
        <v>813</v>
      </c>
      <c r="B132" s="11" t="s">
        <v>757</v>
      </c>
      <c r="C132" s="11" t="s">
        <v>758</v>
      </c>
      <c r="D132" s="11" t="s">
        <v>814</v>
      </c>
      <c r="E132" s="11" t="s">
        <v>815</v>
      </c>
      <c r="F132" s="11" t="s">
        <v>816</v>
      </c>
      <c r="G132" s="11" t="s">
        <v>679</v>
      </c>
      <c r="H132" s="11" t="s">
        <v>291</v>
      </c>
      <c r="I132" s="11" t="s">
        <v>292</v>
      </c>
      <c r="J132" s="15" t="s">
        <v>100</v>
      </c>
      <c r="K132" s="15" t="s">
        <v>101</v>
      </c>
      <c r="L132" s="15" t="n">
        <v>8</v>
      </c>
      <c r="M132" s="15" t="n">
        <v>15</v>
      </c>
      <c r="N132" s="11" t="str">
        <f aca="false">IF(M132&lt;=4,"R1 Foundation",IF(M132&lt;=8,"R2 Core Clinic",IF(M132&lt;=13,"R3 Revenue &amp; Messaging",IF(M132&lt;=18,"R4 Patient &amp; Platform",IF(M132&lt;=20,"R5 Harden","R6 Launch")))))</f>
        <v>R4 Patient &amp; Platform</v>
      </c>
      <c r="O132" s="16" t="n">
        <f aca="false">L132*README!$B$32</f>
        <v>4.8</v>
      </c>
      <c r="P132" s="11" t="s">
        <v>817</v>
      </c>
      <c r="Q132" s="11" t="s">
        <v>818</v>
      </c>
      <c r="R132" s="11" t="s">
        <v>103</v>
      </c>
      <c r="S132" s="11"/>
    </row>
    <row r="133" customFormat="false" ht="23.85" hidden="false" customHeight="false" outlineLevel="0" collapsed="false">
      <c r="A133" s="17" t="s">
        <v>819</v>
      </c>
      <c r="B133" s="17" t="s">
        <v>757</v>
      </c>
      <c r="C133" s="17" t="s">
        <v>758</v>
      </c>
      <c r="D133" s="17" t="s">
        <v>820</v>
      </c>
      <c r="E133" s="17" t="s">
        <v>821</v>
      </c>
      <c r="F133" s="17" t="s">
        <v>822</v>
      </c>
      <c r="G133" s="17" t="s">
        <v>374</v>
      </c>
      <c r="H133" s="17" t="s">
        <v>291</v>
      </c>
      <c r="I133" s="17" t="s">
        <v>292</v>
      </c>
      <c r="J133" s="18" t="s">
        <v>130</v>
      </c>
      <c r="K133" s="18" t="s">
        <v>211</v>
      </c>
      <c r="L133" s="18" t="n">
        <v>8</v>
      </c>
      <c r="M133" s="18" t="n">
        <v>18</v>
      </c>
      <c r="N133" s="17" t="str">
        <f aca="false">IF(M133&lt;=4,"R1 Foundation",IF(M133&lt;=8,"R2 Core Clinic",IF(M133&lt;=13,"R3 Revenue &amp; Messaging",IF(M133&lt;=18,"R4 Patient &amp; Platform",IF(M133&lt;=20,"R5 Harden","R6 Launch")))))</f>
        <v>R4 Patient &amp; Platform</v>
      </c>
      <c r="O133" s="19" t="n">
        <f aca="false">L133*README!$B$32</f>
        <v>4.8</v>
      </c>
      <c r="P133" s="17" t="s">
        <v>823</v>
      </c>
      <c r="Q133" s="17" t="s">
        <v>824</v>
      </c>
      <c r="R133" s="17" t="s">
        <v>103</v>
      </c>
      <c r="S133" s="17"/>
    </row>
    <row r="134" customFormat="false" ht="23.85" hidden="false" customHeight="false" outlineLevel="0" collapsed="false">
      <c r="A134" s="11" t="s">
        <v>825</v>
      </c>
      <c r="B134" s="11" t="s">
        <v>757</v>
      </c>
      <c r="C134" s="11" t="s">
        <v>758</v>
      </c>
      <c r="D134" s="11" t="s">
        <v>826</v>
      </c>
      <c r="E134" s="11" t="s">
        <v>827</v>
      </c>
      <c r="F134" s="11" t="s">
        <v>828</v>
      </c>
      <c r="G134" s="11" t="s">
        <v>310</v>
      </c>
      <c r="H134" s="11" t="s">
        <v>310</v>
      </c>
      <c r="I134" s="11" t="s">
        <v>114</v>
      </c>
      <c r="J134" s="15" t="s">
        <v>100</v>
      </c>
      <c r="K134" s="15" t="s">
        <v>101</v>
      </c>
      <c r="L134" s="15" t="n">
        <v>5</v>
      </c>
      <c r="M134" s="15" t="n">
        <v>16</v>
      </c>
      <c r="N134" s="11" t="str">
        <f aca="false">IF(M134&lt;=4,"R1 Foundation",IF(M134&lt;=8,"R2 Core Clinic",IF(M134&lt;=13,"R3 Revenue &amp; Messaging",IF(M134&lt;=18,"R4 Patient &amp; Platform",IF(M134&lt;=20,"R5 Harden","R6 Launch")))))</f>
        <v>R4 Patient &amp; Platform</v>
      </c>
      <c r="O134" s="16" t="n">
        <f aca="false">L134*README!$B$32</f>
        <v>3</v>
      </c>
      <c r="P134" s="11" t="s">
        <v>829</v>
      </c>
      <c r="Q134" s="11" t="s">
        <v>830</v>
      </c>
      <c r="R134" s="11" t="s">
        <v>103</v>
      </c>
      <c r="S134" s="11"/>
    </row>
    <row r="135" customFormat="false" ht="15" hidden="false" customHeight="false" outlineLevel="0" collapsed="false">
      <c r="A135" s="17" t="s">
        <v>831</v>
      </c>
      <c r="B135" s="17" t="s">
        <v>757</v>
      </c>
      <c r="C135" s="17" t="s">
        <v>758</v>
      </c>
      <c r="D135" s="17" t="s">
        <v>832</v>
      </c>
      <c r="E135" s="17" t="s">
        <v>833</v>
      </c>
      <c r="F135" s="17" t="s">
        <v>834</v>
      </c>
      <c r="G135" s="17" t="s">
        <v>310</v>
      </c>
      <c r="H135" s="17" t="s">
        <v>310</v>
      </c>
      <c r="I135" s="17" t="s">
        <v>168</v>
      </c>
      <c r="J135" s="18" t="s">
        <v>210</v>
      </c>
      <c r="K135" s="18" t="s">
        <v>211</v>
      </c>
      <c r="L135" s="18" t="n">
        <v>3</v>
      </c>
      <c r="M135" s="18" t="n">
        <v>19</v>
      </c>
      <c r="N135" s="17" t="str">
        <f aca="false">IF(M135&lt;=4,"R1 Foundation",IF(M135&lt;=8,"R2 Core Clinic",IF(M135&lt;=13,"R3 Revenue &amp; Messaging",IF(M135&lt;=18,"R4 Patient &amp; Platform",IF(M135&lt;=20,"R5 Harden","R6 Launch")))))</f>
        <v>R5 Harden</v>
      </c>
      <c r="O135" s="19" t="n">
        <f aca="false">L135*README!$B$32</f>
        <v>1.8</v>
      </c>
      <c r="P135" s="17" t="s">
        <v>756</v>
      </c>
      <c r="Q135" s="17" t="s">
        <v>835</v>
      </c>
      <c r="R135" s="17" t="s">
        <v>103</v>
      </c>
      <c r="S135" s="17"/>
    </row>
    <row r="136" customFormat="false" ht="23.85" hidden="false" customHeight="false" outlineLevel="0" collapsed="false">
      <c r="A136" s="11" t="s">
        <v>836</v>
      </c>
      <c r="B136" s="11" t="s">
        <v>757</v>
      </c>
      <c r="C136" s="11" t="s">
        <v>758</v>
      </c>
      <c r="D136" s="11" t="s">
        <v>837</v>
      </c>
      <c r="E136" s="11" t="s">
        <v>838</v>
      </c>
      <c r="F136" s="11" t="s">
        <v>839</v>
      </c>
      <c r="G136" s="11" t="s">
        <v>374</v>
      </c>
      <c r="H136" s="11" t="s">
        <v>291</v>
      </c>
      <c r="I136" s="11" t="s">
        <v>292</v>
      </c>
      <c r="J136" s="15" t="s">
        <v>130</v>
      </c>
      <c r="K136" s="15" t="s">
        <v>101</v>
      </c>
      <c r="L136" s="15" t="n">
        <v>8</v>
      </c>
      <c r="M136" s="15" t="n">
        <v>17</v>
      </c>
      <c r="N136" s="11" t="str">
        <f aca="false">IF(M136&lt;=4,"R1 Foundation",IF(M136&lt;=8,"R2 Core Clinic",IF(M136&lt;=13,"R3 Revenue &amp; Messaging",IF(M136&lt;=18,"R4 Patient &amp; Platform",IF(M136&lt;=20,"R5 Harden","R6 Launch")))))</f>
        <v>R4 Patient &amp; Platform</v>
      </c>
      <c r="O136" s="16" t="n">
        <f aca="false">L136*README!$B$32</f>
        <v>4.8</v>
      </c>
      <c r="P136" s="11" t="s">
        <v>840</v>
      </c>
      <c r="Q136" s="11" t="s">
        <v>841</v>
      </c>
      <c r="R136" s="11" t="s">
        <v>103</v>
      </c>
      <c r="S136" s="11"/>
    </row>
    <row r="137" customFormat="false" ht="23.85" hidden="false" customHeight="false" outlineLevel="0" collapsed="false">
      <c r="A137" s="17" t="s">
        <v>842</v>
      </c>
      <c r="B137" s="17" t="s">
        <v>757</v>
      </c>
      <c r="C137" s="17" t="s">
        <v>758</v>
      </c>
      <c r="D137" s="17" t="s">
        <v>843</v>
      </c>
      <c r="E137" s="17" t="s">
        <v>844</v>
      </c>
      <c r="F137" s="17" t="s">
        <v>845</v>
      </c>
      <c r="G137" s="17" t="s">
        <v>302</v>
      </c>
      <c r="H137" s="17" t="s">
        <v>291</v>
      </c>
      <c r="I137" s="17" t="s">
        <v>292</v>
      </c>
      <c r="J137" s="18" t="s">
        <v>130</v>
      </c>
      <c r="K137" s="18" t="s">
        <v>211</v>
      </c>
      <c r="L137" s="18" t="n">
        <v>5</v>
      </c>
      <c r="M137" s="18" t="n">
        <v>18</v>
      </c>
      <c r="N137" s="17" t="str">
        <f aca="false">IF(M137&lt;=4,"R1 Foundation",IF(M137&lt;=8,"R2 Core Clinic",IF(M137&lt;=13,"R3 Revenue &amp; Messaging",IF(M137&lt;=18,"R4 Patient &amp; Platform",IF(M137&lt;=20,"R5 Harden","R6 Launch")))))</f>
        <v>R4 Patient &amp; Platform</v>
      </c>
      <c r="O137" s="19" t="n">
        <f aca="false">L137*README!$B$32</f>
        <v>3</v>
      </c>
      <c r="P137" s="17" t="s">
        <v>846</v>
      </c>
      <c r="Q137" s="17" t="s">
        <v>847</v>
      </c>
      <c r="R137" s="17" t="s">
        <v>103</v>
      </c>
      <c r="S137" s="17"/>
    </row>
    <row r="138" customFormat="false" ht="15" hidden="false" customHeight="false" outlineLevel="0" collapsed="false">
      <c r="A138" s="11" t="s">
        <v>848</v>
      </c>
      <c r="B138" s="11" t="s">
        <v>757</v>
      </c>
      <c r="C138" s="11" t="s">
        <v>758</v>
      </c>
      <c r="D138" s="11" t="s">
        <v>849</v>
      </c>
      <c r="E138" s="11" t="s">
        <v>850</v>
      </c>
      <c r="F138" s="11" t="s">
        <v>851</v>
      </c>
      <c r="G138" s="11" t="s">
        <v>374</v>
      </c>
      <c r="H138" s="11" t="s">
        <v>291</v>
      </c>
      <c r="I138" s="11" t="s">
        <v>292</v>
      </c>
      <c r="J138" s="15" t="s">
        <v>130</v>
      </c>
      <c r="K138" s="15" t="s">
        <v>211</v>
      </c>
      <c r="L138" s="15" t="n">
        <v>8</v>
      </c>
      <c r="M138" s="15" t="n">
        <v>18</v>
      </c>
      <c r="N138" s="11" t="str">
        <f aca="false">IF(M138&lt;=4,"R1 Foundation",IF(M138&lt;=8,"R2 Core Clinic",IF(M138&lt;=13,"R3 Revenue &amp; Messaging",IF(M138&lt;=18,"R4 Patient &amp; Platform",IF(M138&lt;=20,"R5 Harden","R6 Launch")))))</f>
        <v>R4 Patient &amp; Platform</v>
      </c>
      <c r="O138" s="16" t="n">
        <f aca="false">L138*README!$B$32</f>
        <v>4.8</v>
      </c>
      <c r="P138" s="11" t="s">
        <v>756</v>
      </c>
      <c r="Q138" s="11" t="s">
        <v>852</v>
      </c>
      <c r="R138" s="11" t="s">
        <v>103</v>
      </c>
      <c r="S138" s="11"/>
    </row>
    <row r="139" customFormat="false" ht="23.85" hidden="false" customHeight="false" outlineLevel="0" collapsed="false">
      <c r="A139" s="17" t="s">
        <v>853</v>
      </c>
      <c r="B139" s="17" t="s">
        <v>757</v>
      </c>
      <c r="C139" s="17" t="s">
        <v>758</v>
      </c>
      <c r="D139" s="17" t="s">
        <v>854</v>
      </c>
      <c r="E139" s="17" t="s">
        <v>855</v>
      </c>
      <c r="F139" s="17" t="s">
        <v>856</v>
      </c>
      <c r="G139" s="17" t="s">
        <v>374</v>
      </c>
      <c r="H139" s="17" t="s">
        <v>291</v>
      </c>
      <c r="I139" s="17" t="s">
        <v>292</v>
      </c>
      <c r="J139" s="18" t="s">
        <v>130</v>
      </c>
      <c r="K139" s="18" t="s">
        <v>211</v>
      </c>
      <c r="L139" s="18" t="n">
        <v>5</v>
      </c>
      <c r="M139" s="18" t="n">
        <v>18</v>
      </c>
      <c r="N139" s="17" t="str">
        <f aca="false">IF(M139&lt;=4,"R1 Foundation",IF(M139&lt;=8,"R2 Core Clinic",IF(M139&lt;=13,"R3 Revenue &amp; Messaging",IF(M139&lt;=18,"R4 Patient &amp; Platform",IF(M139&lt;=20,"R5 Harden","R6 Launch")))))</f>
        <v>R4 Patient &amp; Platform</v>
      </c>
      <c r="O139" s="19" t="n">
        <f aca="false">L139*README!$B$32</f>
        <v>3</v>
      </c>
      <c r="P139" s="17" t="s">
        <v>840</v>
      </c>
      <c r="Q139" s="17" t="s">
        <v>857</v>
      </c>
      <c r="R139" s="17" t="s">
        <v>103</v>
      </c>
      <c r="S139" s="17"/>
    </row>
    <row r="140" customFormat="false" ht="23.85" hidden="false" customHeight="false" outlineLevel="0" collapsed="false">
      <c r="A140" s="11" t="s">
        <v>858</v>
      </c>
      <c r="B140" s="11" t="s">
        <v>757</v>
      </c>
      <c r="C140" s="11" t="s">
        <v>758</v>
      </c>
      <c r="D140" s="11" t="s">
        <v>859</v>
      </c>
      <c r="E140" s="11" t="s">
        <v>860</v>
      </c>
      <c r="F140" s="11" t="s">
        <v>861</v>
      </c>
      <c r="G140" s="11" t="s">
        <v>374</v>
      </c>
      <c r="H140" s="11" t="s">
        <v>291</v>
      </c>
      <c r="I140" s="11" t="s">
        <v>292</v>
      </c>
      <c r="J140" s="15" t="s">
        <v>210</v>
      </c>
      <c r="K140" s="15" t="s">
        <v>211</v>
      </c>
      <c r="L140" s="15" t="n">
        <v>8</v>
      </c>
      <c r="M140" s="15" t="n">
        <v>19</v>
      </c>
      <c r="N140" s="11" t="str">
        <f aca="false">IF(M140&lt;=4,"R1 Foundation",IF(M140&lt;=8,"R2 Core Clinic",IF(M140&lt;=13,"R3 Revenue &amp; Messaging",IF(M140&lt;=18,"R4 Patient &amp; Platform",IF(M140&lt;=20,"R5 Harden","R6 Launch")))))</f>
        <v>R5 Harden</v>
      </c>
      <c r="O140" s="16" t="n">
        <f aca="false">L140*README!$B$32</f>
        <v>4.8</v>
      </c>
      <c r="P140" s="11" t="s">
        <v>840</v>
      </c>
      <c r="Q140" s="11" t="s">
        <v>862</v>
      </c>
      <c r="R140" s="11" t="s">
        <v>103</v>
      </c>
      <c r="S140" s="11"/>
    </row>
    <row r="141" customFormat="false" ht="23.85" hidden="false" customHeight="false" outlineLevel="0" collapsed="false">
      <c r="A141" s="17" t="s">
        <v>863</v>
      </c>
      <c r="B141" s="17" t="s">
        <v>757</v>
      </c>
      <c r="C141" s="17" t="s">
        <v>758</v>
      </c>
      <c r="D141" s="17" t="s">
        <v>864</v>
      </c>
      <c r="E141" s="17" t="s">
        <v>865</v>
      </c>
      <c r="F141" s="17" t="s">
        <v>866</v>
      </c>
      <c r="G141" s="17" t="s">
        <v>374</v>
      </c>
      <c r="H141" s="17" t="s">
        <v>291</v>
      </c>
      <c r="I141" s="17" t="s">
        <v>292</v>
      </c>
      <c r="J141" s="18" t="s">
        <v>210</v>
      </c>
      <c r="K141" s="18" t="s">
        <v>211</v>
      </c>
      <c r="L141" s="18" t="n">
        <v>8</v>
      </c>
      <c r="M141" s="18" t="n">
        <v>20</v>
      </c>
      <c r="N141" s="17" t="str">
        <f aca="false">IF(M141&lt;=4,"R1 Foundation",IF(M141&lt;=8,"R2 Core Clinic",IF(M141&lt;=13,"R3 Revenue &amp; Messaging",IF(M141&lt;=18,"R4 Patient &amp; Platform",IF(M141&lt;=20,"R5 Harden","R6 Launch")))))</f>
        <v>R5 Harden</v>
      </c>
      <c r="O141" s="19" t="n">
        <f aca="false">L141*README!$B$32</f>
        <v>4.8</v>
      </c>
      <c r="P141" s="17" t="s">
        <v>867</v>
      </c>
      <c r="Q141" s="17" t="s">
        <v>868</v>
      </c>
      <c r="R141" s="17" t="s">
        <v>103</v>
      </c>
      <c r="S141" s="17"/>
    </row>
    <row r="142" customFormat="false" ht="15" hidden="false" customHeight="false" outlineLevel="0" collapsed="false">
      <c r="A142" s="11" t="s">
        <v>869</v>
      </c>
      <c r="B142" s="11" t="s">
        <v>757</v>
      </c>
      <c r="C142" s="11" t="s">
        <v>758</v>
      </c>
      <c r="D142" s="11" t="s">
        <v>870</v>
      </c>
      <c r="E142" s="11" t="s">
        <v>871</v>
      </c>
      <c r="F142" s="11" t="s">
        <v>872</v>
      </c>
      <c r="G142" s="11" t="s">
        <v>374</v>
      </c>
      <c r="H142" s="11" t="s">
        <v>291</v>
      </c>
      <c r="I142" s="11" t="s">
        <v>292</v>
      </c>
      <c r="J142" s="15" t="s">
        <v>210</v>
      </c>
      <c r="K142" s="15" t="s">
        <v>211</v>
      </c>
      <c r="L142" s="15" t="n">
        <v>5</v>
      </c>
      <c r="M142" s="15" t="n">
        <v>20</v>
      </c>
      <c r="N142" s="11" t="str">
        <f aca="false">IF(M142&lt;=4,"R1 Foundation",IF(M142&lt;=8,"R2 Core Clinic",IF(M142&lt;=13,"R3 Revenue &amp; Messaging",IF(M142&lt;=18,"R4 Patient &amp; Platform",IF(M142&lt;=20,"R5 Harden","R6 Launch")))))</f>
        <v>R5 Harden</v>
      </c>
      <c r="O142" s="16" t="n">
        <f aca="false">L142*README!$B$32</f>
        <v>3</v>
      </c>
      <c r="P142" s="11" t="s">
        <v>867</v>
      </c>
      <c r="Q142" s="11" t="s">
        <v>873</v>
      </c>
      <c r="R142" s="11" t="s">
        <v>103</v>
      </c>
      <c r="S142" s="11"/>
    </row>
    <row r="143" customFormat="false" ht="23.85" hidden="false" customHeight="false" outlineLevel="0" collapsed="false">
      <c r="A143" s="17" t="s">
        <v>874</v>
      </c>
      <c r="B143" s="17" t="s">
        <v>875</v>
      </c>
      <c r="C143" s="17" t="s">
        <v>876</v>
      </c>
      <c r="D143" s="17" t="s">
        <v>877</v>
      </c>
      <c r="E143" s="17" t="s">
        <v>878</v>
      </c>
      <c r="F143" s="17"/>
      <c r="G143" s="17" t="s">
        <v>879</v>
      </c>
      <c r="H143" s="17" t="s">
        <v>291</v>
      </c>
      <c r="I143" s="17" t="s">
        <v>168</v>
      </c>
      <c r="J143" s="18" t="s">
        <v>100</v>
      </c>
      <c r="K143" s="18" t="s">
        <v>101</v>
      </c>
      <c r="L143" s="18" t="n">
        <v>5</v>
      </c>
      <c r="M143" s="18" t="n">
        <v>10</v>
      </c>
      <c r="N143" s="17" t="str">
        <f aca="false">IF(M143&lt;=4,"R1 Foundation",IF(M143&lt;=8,"R2 Core Clinic",IF(M143&lt;=13,"R3 Revenue &amp; Messaging",IF(M143&lt;=18,"R4 Patient &amp; Platform",IF(M143&lt;=20,"R5 Harden","R6 Launch")))))</f>
        <v>R3 Revenue &amp; Messaging</v>
      </c>
      <c r="O143" s="19" t="n">
        <f aca="false">L143*README!$B$32</f>
        <v>3</v>
      </c>
      <c r="P143" s="17" t="s">
        <v>880</v>
      </c>
      <c r="Q143" s="17" t="s">
        <v>881</v>
      </c>
      <c r="R143" s="17" t="s">
        <v>103</v>
      </c>
      <c r="S143" s="17"/>
    </row>
    <row r="144" customFormat="false" ht="23.85" hidden="false" customHeight="false" outlineLevel="0" collapsed="false">
      <c r="A144" s="11" t="s">
        <v>882</v>
      </c>
      <c r="B144" s="11" t="s">
        <v>875</v>
      </c>
      <c r="C144" s="11" t="s">
        <v>876</v>
      </c>
      <c r="D144" s="11" t="s">
        <v>883</v>
      </c>
      <c r="E144" s="11" t="s">
        <v>884</v>
      </c>
      <c r="F144" s="11"/>
      <c r="G144" s="11" t="s">
        <v>879</v>
      </c>
      <c r="H144" s="11" t="s">
        <v>291</v>
      </c>
      <c r="I144" s="11" t="s">
        <v>292</v>
      </c>
      <c r="J144" s="15" t="s">
        <v>100</v>
      </c>
      <c r="K144" s="15" t="s">
        <v>101</v>
      </c>
      <c r="L144" s="15" t="n">
        <v>5</v>
      </c>
      <c r="M144" s="15" t="n">
        <v>11</v>
      </c>
      <c r="N144" s="11" t="str">
        <f aca="false">IF(M144&lt;=4,"R1 Foundation",IF(M144&lt;=8,"R2 Core Clinic",IF(M144&lt;=13,"R3 Revenue &amp; Messaging",IF(M144&lt;=18,"R4 Patient &amp; Platform",IF(M144&lt;=20,"R5 Harden","R6 Launch")))))</f>
        <v>R3 Revenue &amp; Messaging</v>
      </c>
      <c r="O144" s="16" t="n">
        <f aca="false">L144*README!$B$32</f>
        <v>3</v>
      </c>
      <c r="P144" s="11" t="s">
        <v>885</v>
      </c>
      <c r="Q144" s="11" t="s">
        <v>886</v>
      </c>
      <c r="R144" s="11" t="s">
        <v>103</v>
      </c>
      <c r="S144" s="11"/>
    </row>
    <row r="145" customFormat="false" ht="23.85" hidden="false" customHeight="false" outlineLevel="0" collapsed="false">
      <c r="A145" s="17" t="s">
        <v>887</v>
      </c>
      <c r="B145" s="17" t="s">
        <v>875</v>
      </c>
      <c r="C145" s="17" t="s">
        <v>876</v>
      </c>
      <c r="D145" s="17" t="s">
        <v>888</v>
      </c>
      <c r="E145" s="17" t="s">
        <v>889</v>
      </c>
      <c r="F145" s="17" t="s">
        <v>890</v>
      </c>
      <c r="G145" s="17" t="s">
        <v>879</v>
      </c>
      <c r="H145" s="17" t="s">
        <v>291</v>
      </c>
      <c r="I145" s="17" t="s">
        <v>292</v>
      </c>
      <c r="J145" s="18" t="s">
        <v>100</v>
      </c>
      <c r="K145" s="18" t="s">
        <v>101</v>
      </c>
      <c r="L145" s="18" t="n">
        <v>8</v>
      </c>
      <c r="M145" s="18" t="n">
        <v>14</v>
      </c>
      <c r="N145" s="17" t="str">
        <f aca="false">IF(M145&lt;=4,"R1 Foundation",IF(M145&lt;=8,"R2 Core Clinic",IF(M145&lt;=13,"R3 Revenue &amp; Messaging",IF(M145&lt;=18,"R4 Patient &amp; Platform",IF(M145&lt;=20,"R5 Harden","R6 Launch")))))</f>
        <v>R4 Patient &amp; Platform</v>
      </c>
      <c r="O145" s="19" t="n">
        <f aca="false">L145*README!$B$32</f>
        <v>4.8</v>
      </c>
      <c r="P145" s="17" t="s">
        <v>891</v>
      </c>
      <c r="Q145" s="17" t="s">
        <v>892</v>
      </c>
      <c r="R145" s="17" t="s">
        <v>103</v>
      </c>
      <c r="S145" s="17"/>
    </row>
    <row r="146" customFormat="false" ht="23.85" hidden="false" customHeight="false" outlineLevel="0" collapsed="false">
      <c r="A146" s="11" t="s">
        <v>893</v>
      </c>
      <c r="B146" s="11" t="s">
        <v>875</v>
      </c>
      <c r="C146" s="11" t="s">
        <v>876</v>
      </c>
      <c r="D146" s="11" t="s">
        <v>894</v>
      </c>
      <c r="E146" s="11" t="s">
        <v>895</v>
      </c>
      <c r="F146" s="11"/>
      <c r="G146" s="11" t="s">
        <v>679</v>
      </c>
      <c r="H146" s="11" t="s">
        <v>291</v>
      </c>
      <c r="I146" s="11" t="s">
        <v>292</v>
      </c>
      <c r="J146" s="15" t="s">
        <v>100</v>
      </c>
      <c r="K146" s="15" t="s">
        <v>101</v>
      </c>
      <c r="L146" s="15" t="n">
        <v>8</v>
      </c>
      <c r="M146" s="15" t="n">
        <v>13</v>
      </c>
      <c r="N146" s="11" t="str">
        <f aca="false">IF(M146&lt;=4,"R1 Foundation",IF(M146&lt;=8,"R2 Core Clinic",IF(M146&lt;=13,"R3 Revenue &amp; Messaging",IF(M146&lt;=18,"R4 Patient &amp; Platform",IF(M146&lt;=20,"R5 Harden","R6 Launch")))))</f>
        <v>R3 Revenue &amp; Messaging</v>
      </c>
      <c r="O146" s="16" t="n">
        <f aca="false">L146*README!$B$32</f>
        <v>4.8</v>
      </c>
      <c r="P146" s="11" t="s">
        <v>673</v>
      </c>
      <c r="Q146" s="11" t="s">
        <v>896</v>
      </c>
      <c r="R146" s="11" t="s">
        <v>103</v>
      </c>
      <c r="S146" s="11"/>
    </row>
    <row r="147" customFormat="false" ht="15" hidden="false" customHeight="false" outlineLevel="0" collapsed="false">
      <c r="A147" s="17" t="s">
        <v>897</v>
      </c>
      <c r="B147" s="17" t="s">
        <v>875</v>
      </c>
      <c r="C147" s="17" t="s">
        <v>876</v>
      </c>
      <c r="D147" s="17" t="s">
        <v>898</v>
      </c>
      <c r="E147" s="17" t="s">
        <v>899</v>
      </c>
      <c r="F147" s="17"/>
      <c r="G147" s="17" t="s">
        <v>879</v>
      </c>
      <c r="H147" s="17" t="s">
        <v>291</v>
      </c>
      <c r="I147" s="17" t="s">
        <v>292</v>
      </c>
      <c r="J147" s="18" t="s">
        <v>130</v>
      </c>
      <c r="K147" s="18" t="s">
        <v>101</v>
      </c>
      <c r="L147" s="18" t="n">
        <v>5</v>
      </c>
      <c r="M147" s="18" t="n">
        <v>14</v>
      </c>
      <c r="N147" s="17" t="str">
        <f aca="false">IF(M147&lt;=4,"R1 Foundation",IF(M147&lt;=8,"R2 Core Clinic",IF(M147&lt;=13,"R3 Revenue &amp; Messaging",IF(M147&lt;=18,"R4 Patient &amp; Platform",IF(M147&lt;=20,"R5 Harden","R6 Launch")))))</f>
        <v>R4 Patient &amp; Platform</v>
      </c>
      <c r="O147" s="19" t="n">
        <f aca="false">L147*README!$B$32</f>
        <v>3</v>
      </c>
      <c r="P147" s="17" t="s">
        <v>609</v>
      </c>
      <c r="Q147" s="17" t="s">
        <v>900</v>
      </c>
      <c r="R147" s="17" t="s">
        <v>103</v>
      </c>
      <c r="S147" s="17"/>
    </row>
    <row r="148" customFormat="false" ht="23.85" hidden="false" customHeight="false" outlineLevel="0" collapsed="false">
      <c r="A148" s="11" t="s">
        <v>901</v>
      </c>
      <c r="B148" s="11" t="s">
        <v>875</v>
      </c>
      <c r="C148" s="11" t="s">
        <v>876</v>
      </c>
      <c r="D148" s="11" t="s">
        <v>902</v>
      </c>
      <c r="E148" s="11" t="s">
        <v>903</v>
      </c>
      <c r="F148" s="11" t="s">
        <v>904</v>
      </c>
      <c r="G148" s="11" t="s">
        <v>879</v>
      </c>
      <c r="H148" s="11" t="s">
        <v>291</v>
      </c>
      <c r="I148" s="11" t="s">
        <v>292</v>
      </c>
      <c r="J148" s="15" t="s">
        <v>100</v>
      </c>
      <c r="K148" s="15" t="s">
        <v>101</v>
      </c>
      <c r="L148" s="15" t="n">
        <v>5</v>
      </c>
      <c r="M148" s="15" t="n">
        <v>14</v>
      </c>
      <c r="N148" s="11" t="str">
        <f aca="false">IF(M148&lt;=4,"R1 Foundation",IF(M148&lt;=8,"R2 Core Clinic",IF(M148&lt;=13,"R3 Revenue &amp; Messaging",IF(M148&lt;=18,"R4 Patient &amp; Platform",IF(M148&lt;=20,"R5 Harden","R6 Launch")))))</f>
        <v>R4 Patient &amp; Platform</v>
      </c>
      <c r="O148" s="16" t="n">
        <f aca="false">L148*README!$B$32</f>
        <v>3</v>
      </c>
      <c r="P148" s="11" t="s">
        <v>846</v>
      </c>
      <c r="Q148" s="11" t="s">
        <v>905</v>
      </c>
      <c r="R148" s="11" t="s">
        <v>103</v>
      </c>
      <c r="S148" s="11"/>
    </row>
    <row r="149" customFormat="false" ht="15" hidden="false" customHeight="false" outlineLevel="0" collapsed="false">
      <c r="A149" s="17" t="s">
        <v>906</v>
      </c>
      <c r="B149" s="17" t="s">
        <v>875</v>
      </c>
      <c r="C149" s="17" t="s">
        <v>876</v>
      </c>
      <c r="D149" s="17" t="s">
        <v>907</v>
      </c>
      <c r="E149" s="17" t="s">
        <v>908</v>
      </c>
      <c r="F149" s="17"/>
      <c r="G149" s="17" t="s">
        <v>879</v>
      </c>
      <c r="H149" s="17" t="s">
        <v>291</v>
      </c>
      <c r="I149" s="17" t="s">
        <v>168</v>
      </c>
      <c r="J149" s="18" t="s">
        <v>130</v>
      </c>
      <c r="K149" s="18" t="s">
        <v>101</v>
      </c>
      <c r="L149" s="18" t="n">
        <v>3</v>
      </c>
      <c r="M149" s="18" t="n">
        <v>15</v>
      </c>
      <c r="N149" s="17" t="str">
        <f aca="false">IF(M149&lt;=4,"R1 Foundation",IF(M149&lt;=8,"R2 Core Clinic",IF(M149&lt;=13,"R3 Revenue &amp; Messaging",IF(M149&lt;=18,"R4 Patient &amp; Platform",IF(M149&lt;=20,"R5 Harden","R6 Launch")))))</f>
        <v>R4 Patient &amp; Platform</v>
      </c>
      <c r="O149" s="19" t="n">
        <f aca="false">L149*README!$B$32</f>
        <v>1.8</v>
      </c>
      <c r="P149" s="17" t="s">
        <v>893</v>
      </c>
      <c r="Q149" s="17" t="s">
        <v>909</v>
      </c>
      <c r="R149" s="17" t="s">
        <v>103</v>
      </c>
      <c r="S149" s="17"/>
    </row>
    <row r="150" customFormat="false" ht="23.85" hidden="false" customHeight="false" outlineLevel="0" collapsed="false">
      <c r="A150" s="11" t="s">
        <v>910</v>
      </c>
      <c r="B150" s="11" t="s">
        <v>875</v>
      </c>
      <c r="C150" s="11" t="s">
        <v>876</v>
      </c>
      <c r="D150" s="11" t="s">
        <v>911</v>
      </c>
      <c r="E150" s="11" t="s">
        <v>912</v>
      </c>
      <c r="F150" s="11"/>
      <c r="G150" s="11" t="s">
        <v>679</v>
      </c>
      <c r="H150" s="11" t="s">
        <v>291</v>
      </c>
      <c r="I150" s="11" t="s">
        <v>292</v>
      </c>
      <c r="J150" s="15" t="s">
        <v>130</v>
      </c>
      <c r="K150" s="15" t="s">
        <v>101</v>
      </c>
      <c r="L150" s="15" t="n">
        <v>5</v>
      </c>
      <c r="M150" s="15" t="n">
        <v>15</v>
      </c>
      <c r="N150" s="11" t="str">
        <f aca="false">IF(M150&lt;=4,"R1 Foundation",IF(M150&lt;=8,"R2 Core Clinic",IF(M150&lt;=13,"R3 Revenue &amp; Messaging",IF(M150&lt;=18,"R4 Patient &amp; Platform",IF(M150&lt;=20,"R5 Harden","R6 Launch")))))</f>
        <v>R4 Patient &amp; Platform</v>
      </c>
      <c r="O150" s="16" t="n">
        <f aca="false">L150*README!$B$32</f>
        <v>3</v>
      </c>
      <c r="P150" s="11" t="s">
        <v>887</v>
      </c>
      <c r="Q150" s="11" t="s">
        <v>913</v>
      </c>
      <c r="R150" s="11" t="s">
        <v>103</v>
      </c>
      <c r="S150" s="11"/>
    </row>
    <row r="151" customFormat="false" ht="23.85" hidden="false" customHeight="false" outlineLevel="0" collapsed="false">
      <c r="A151" s="17" t="s">
        <v>914</v>
      </c>
      <c r="B151" s="17" t="s">
        <v>915</v>
      </c>
      <c r="C151" s="17" t="s">
        <v>916</v>
      </c>
      <c r="D151" s="17" t="s">
        <v>917</v>
      </c>
      <c r="E151" s="17" t="s">
        <v>918</v>
      </c>
      <c r="F151" s="17"/>
      <c r="G151" s="17" t="s">
        <v>233</v>
      </c>
      <c r="H151" s="17" t="s">
        <v>291</v>
      </c>
      <c r="I151" s="17" t="s">
        <v>292</v>
      </c>
      <c r="J151" s="18" t="s">
        <v>100</v>
      </c>
      <c r="K151" s="18" t="s">
        <v>101</v>
      </c>
      <c r="L151" s="18" t="n">
        <v>13</v>
      </c>
      <c r="M151" s="18" t="n">
        <v>12</v>
      </c>
      <c r="N151" s="17" t="str">
        <f aca="false">IF(M151&lt;=4,"R1 Foundation",IF(M151&lt;=8,"R2 Core Clinic",IF(M151&lt;=13,"R3 Revenue &amp; Messaging",IF(M151&lt;=18,"R4 Patient &amp; Platform",IF(M151&lt;=20,"R5 Harden","R6 Launch")))))</f>
        <v>R3 Revenue &amp; Messaging</v>
      </c>
      <c r="O151" s="19" t="n">
        <f aca="false">L151*README!$B$32</f>
        <v>7.8</v>
      </c>
      <c r="P151" s="17" t="s">
        <v>425</v>
      </c>
      <c r="Q151" s="17" t="s">
        <v>919</v>
      </c>
      <c r="R151" s="17" t="s">
        <v>103</v>
      </c>
      <c r="S151" s="17"/>
    </row>
    <row r="152" customFormat="false" ht="23.85" hidden="false" customHeight="false" outlineLevel="0" collapsed="false">
      <c r="A152" s="11" t="s">
        <v>920</v>
      </c>
      <c r="B152" s="11" t="s">
        <v>915</v>
      </c>
      <c r="C152" s="11" t="s">
        <v>916</v>
      </c>
      <c r="D152" s="11" t="s">
        <v>921</v>
      </c>
      <c r="E152" s="11" t="s">
        <v>922</v>
      </c>
      <c r="F152" s="11"/>
      <c r="G152" s="11" t="s">
        <v>233</v>
      </c>
      <c r="H152" s="11" t="s">
        <v>291</v>
      </c>
      <c r="I152" s="11" t="s">
        <v>114</v>
      </c>
      <c r="J152" s="15" t="s">
        <v>100</v>
      </c>
      <c r="K152" s="15" t="s">
        <v>101</v>
      </c>
      <c r="L152" s="15" t="n">
        <v>5</v>
      </c>
      <c r="M152" s="15" t="n">
        <v>12</v>
      </c>
      <c r="N152" s="11" t="str">
        <f aca="false">IF(M152&lt;=4,"R1 Foundation",IF(M152&lt;=8,"R2 Core Clinic",IF(M152&lt;=13,"R3 Revenue &amp; Messaging",IF(M152&lt;=18,"R4 Patient &amp; Platform",IF(M152&lt;=20,"R5 Harden","R6 Launch")))))</f>
        <v>R3 Revenue &amp; Messaging</v>
      </c>
      <c r="O152" s="16" t="n">
        <f aca="false">L152*README!$B$32</f>
        <v>3</v>
      </c>
      <c r="P152" s="11" t="s">
        <v>914</v>
      </c>
      <c r="Q152" s="11" t="s">
        <v>923</v>
      </c>
      <c r="R152" s="11" t="s">
        <v>103</v>
      </c>
      <c r="S152" s="11"/>
    </row>
    <row r="153" customFormat="false" ht="23.85" hidden="false" customHeight="false" outlineLevel="0" collapsed="false">
      <c r="A153" s="17" t="s">
        <v>924</v>
      </c>
      <c r="B153" s="17" t="s">
        <v>915</v>
      </c>
      <c r="C153" s="17" t="s">
        <v>916</v>
      </c>
      <c r="D153" s="17" t="s">
        <v>925</v>
      </c>
      <c r="E153" s="17" t="s">
        <v>926</v>
      </c>
      <c r="F153" s="17"/>
      <c r="G153" s="17" t="s">
        <v>485</v>
      </c>
      <c r="H153" s="17" t="s">
        <v>291</v>
      </c>
      <c r="I153" s="17" t="s">
        <v>292</v>
      </c>
      <c r="J153" s="18" t="s">
        <v>100</v>
      </c>
      <c r="K153" s="18" t="s">
        <v>101</v>
      </c>
      <c r="L153" s="18" t="n">
        <v>8</v>
      </c>
      <c r="M153" s="18" t="n">
        <v>13</v>
      </c>
      <c r="N153" s="17" t="str">
        <f aca="false">IF(M153&lt;=4,"R1 Foundation",IF(M153&lt;=8,"R2 Core Clinic",IF(M153&lt;=13,"R3 Revenue &amp; Messaging",IF(M153&lt;=18,"R4 Patient &amp; Platform",IF(M153&lt;=20,"R5 Harden","R6 Launch")))))</f>
        <v>R3 Revenue &amp; Messaging</v>
      </c>
      <c r="O153" s="19" t="n">
        <f aca="false">L153*README!$B$32</f>
        <v>4.8</v>
      </c>
      <c r="P153" s="17" t="s">
        <v>927</v>
      </c>
      <c r="Q153" s="17" t="s">
        <v>928</v>
      </c>
      <c r="R153" s="17" t="s">
        <v>103</v>
      </c>
      <c r="S153" s="17"/>
    </row>
    <row r="154" customFormat="false" ht="23.85" hidden="false" customHeight="false" outlineLevel="0" collapsed="false">
      <c r="A154" s="11" t="s">
        <v>846</v>
      </c>
      <c r="B154" s="11" t="s">
        <v>915</v>
      </c>
      <c r="C154" s="11" t="s">
        <v>916</v>
      </c>
      <c r="D154" s="11" t="s">
        <v>929</v>
      </c>
      <c r="E154" s="11" t="s">
        <v>930</v>
      </c>
      <c r="F154" s="11" t="s">
        <v>931</v>
      </c>
      <c r="G154" s="11" t="s">
        <v>379</v>
      </c>
      <c r="H154" s="11" t="s">
        <v>291</v>
      </c>
      <c r="I154" s="11" t="s">
        <v>114</v>
      </c>
      <c r="J154" s="15" t="s">
        <v>100</v>
      </c>
      <c r="K154" s="15" t="s">
        <v>101</v>
      </c>
      <c r="L154" s="15" t="n">
        <v>8</v>
      </c>
      <c r="M154" s="15" t="n">
        <v>13</v>
      </c>
      <c r="N154" s="11" t="str">
        <f aca="false">IF(M154&lt;=4,"R1 Foundation",IF(M154&lt;=8,"R2 Core Clinic",IF(M154&lt;=13,"R3 Revenue &amp; Messaging",IF(M154&lt;=18,"R4 Patient &amp; Platform",IF(M154&lt;=20,"R5 Harden","R6 Launch")))))</f>
        <v>R3 Revenue &amp; Messaging</v>
      </c>
      <c r="O154" s="16" t="n">
        <f aca="false">L154*README!$B$32</f>
        <v>4.8</v>
      </c>
      <c r="P154" s="11" t="s">
        <v>924</v>
      </c>
      <c r="Q154" s="11" t="s">
        <v>932</v>
      </c>
      <c r="R154" s="11" t="s">
        <v>103</v>
      </c>
      <c r="S154" s="11"/>
    </row>
    <row r="155" customFormat="false" ht="23.85" hidden="false" customHeight="false" outlineLevel="0" collapsed="false">
      <c r="A155" s="17" t="s">
        <v>933</v>
      </c>
      <c r="B155" s="17" t="s">
        <v>915</v>
      </c>
      <c r="C155" s="17" t="s">
        <v>916</v>
      </c>
      <c r="D155" s="17" t="s">
        <v>934</v>
      </c>
      <c r="E155" s="17" t="s">
        <v>935</v>
      </c>
      <c r="F155" s="17" t="s">
        <v>904</v>
      </c>
      <c r="G155" s="17" t="s">
        <v>936</v>
      </c>
      <c r="H155" s="17" t="s">
        <v>291</v>
      </c>
      <c r="I155" s="17" t="s">
        <v>292</v>
      </c>
      <c r="J155" s="18" t="s">
        <v>100</v>
      </c>
      <c r="K155" s="18" t="s">
        <v>101</v>
      </c>
      <c r="L155" s="18" t="n">
        <v>5</v>
      </c>
      <c r="M155" s="18" t="n">
        <v>14</v>
      </c>
      <c r="N155" s="17" t="str">
        <f aca="false">IF(M155&lt;=4,"R1 Foundation",IF(M155&lt;=8,"R2 Core Clinic",IF(M155&lt;=13,"R3 Revenue &amp; Messaging",IF(M155&lt;=18,"R4 Patient &amp; Platform",IF(M155&lt;=20,"R5 Harden","R6 Launch")))))</f>
        <v>R4 Patient &amp; Platform</v>
      </c>
      <c r="O155" s="19" t="n">
        <f aca="false">L155*README!$B$32</f>
        <v>3</v>
      </c>
      <c r="P155" s="17" t="s">
        <v>937</v>
      </c>
      <c r="Q155" s="17" t="s">
        <v>938</v>
      </c>
      <c r="R155" s="17" t="s">
        <v>103</v>
      </c>
      <c r="S155" s="17"/>
    </row>
    <row r="156" customFormat="false" ht="23.85" hidden="false" customHeight="false" outlineLevel="0" collapsed="false">
      <c r="A156" s="11" t="s">
        <v>939</v>
      </c>
      <c r="B156" s="11" t="s">
        <v>915</v>
      </c>
      <c r="C156" s="11" t="s">
        <v>916</v>
      </c>
      <c r="D156" s="11" t="s">
        <v>940</v>
      </c>
      <c r="E156" s="11" t="s">
        <v>941</v>
      </c>
      <c r="F156" s="11" t="s">
        <v>942</v>
      </c>
      <c r="G156" s="11" t="s">
        <v>485</v>
      </c>
      <c r="H156" s="11" t="s">
        <v>291</v>
      </c>
      <c r="I156" s="11" t="s">
        <v>114</v>
      </c>
      <c r="J156" s="15" t="s">
        <v>100</v>
      </c>
      <c r="K156" s="15" t="s">
        <v>101</v>
      </c>
      <c r="L156" s="15" t="n">
        <v>5</v>
      </c>
      <c r="M156" s="15" t="n">
        <v>14</v>
      </c>
      <c r="N156" s="11" t="str">
        <f aca="false">IF(M156&lt;=4,"R1 Foundation",IF(M156&lt;=8,"R2 Core Clinic",IF(M156&lt;=13,"R3 Revenue &amp; Messaging",IF(M156&lt;=18,"R4 Patient &amp; Platform",IF(M156&lt;=20,"R5 Harden","R6 Launch")))))</f>
        <v>R4 Patient &amp; Platform</v>
      </c>
      <c r="O156" s="16" t="n">
        <f aca="false">L156*README!$B$32</f>
        <v>3</v>
      </c>
      <c r="P156" s="11" t="s">
        <v>943</v>
      </c>
      <c r="Q156" s="11" t="s">
        <v>944</v>
      </c>
      <c r="R156" s="11" t="s">
        <v>103</v>
      </c>
      <c r="S156" s="11"/>
    </row>
    <row r="157" customFormat="false" ht="23.85" hidden="false" customHeight="false" outlineLevel="0" collapsed="false">
      <c r="A157" s="17" t="s">
        <v>945</v>
      </c>
      <c r="B157" s="17" t="s">
        <v>915</v>
      </c>
      <c r="C157" s="17" t="s">
        <v>916</v>
      </c>
      <c r="D157" s="17" t="s">
        <v>946</v>
      </c>
      <c r="E157" s="17" t="s">
        <v>947</v>
      </c>
      <c r="F157" s="17" t="s">
        <v>948</v>
      </c>
      <c r="G157" s="17" t="s">
        <v>284</v>
      </c>
      <c r="H157" s="17" t="s">
        <v>291</v>
      </c>
      <c r="I157" s="17" t="s">
        <v>292</v>
      </c>
      <c r="J157" s="18" t="s">
        <v>130</v>
      </c>
      <c r="K157" s="18" t="s">
        <v>211</v>
      </c>
      <c r="L157" s="18" t="n">
        <v>8</v>
      </c>
      <c r="M157" s="18" t="n">
        <v>17</v>
      </c>
      <c r="N157" s="17" t="str">
        <f aca="false">IF(M157&lt;=4,"R1 Foundation",IF(M157&lt;=8,"R2 Core Clinic",IF(M157&lt;=13,"R3 Revenue &amp; Messaging",IF(M157&lt;=18,"R4 Patient &amp; Platform",IF(M157&lt;=20,"R5 Harden","R6 Launch")))))</f>
        <v>R4 Patient &amp; Platform</v>
      </c>
      <c r="O157" s="19" t="n">
        <f aca="false">L157*README!$B$32</f>
        <v>4.8</v>
      </c>
      <c r="P157" s="17" t="s">
        <v>949</v>
      </c>
      <c r="Q157" s="17" t="s">
        <v>950</v>
      </c>
      <c r="R157" s="17" t="s">
        <v>103</v>
      </c>
      <c r="S157" s="17"/>
    </row>
    <row r="158" customFormat="false" ht="23.85" hidden="false" customHeight="false" outlineLevel="0" collapsed="false">
      <c r="A158" s="11" t="s">
        <v>951</v>
      </c>
      <c r="B158" s="11" t="s">
        <v>915</v>
      </c>
      <c r="C158" s="11" t="s">
        <v>916</v>
      </c>
      <c r="D158" s="11" t="s">
        <v>952</v>
      </c>
      <c r="E158" s="11" t="s">
        <v>953</v>
      </c>
      <c r="F158" s="11" t="s">
        <v>954</v>
      </c>
      <c r="G158" s="11" t="s">
        <v>955</v>
      </c>
      <c r="H158" s="11" t="s">
        <v>291</v>
      </c>
      <c r="I158" s="11" t="s">
        <v>292</v>
      </c>
      <c r="J158" s="15" t="s">
        <v>100</v>
      </c>
      <c r="K158" s="15" t="s">
        <v>101</v>
      </c>
      <c r="L158" s="15" t="n">
        <v>5</v>
      </c>
      <c r="M158" s="15" t="n">
        <v>15</v>
      </c>
      <c r="N158" s="11" t="str">
        <f aca="false">IF(M158&lt;=4,"R1 Foundation",IF(M158&lt;=8,"R2 Core Clinic",IF(M158&lt;=13,"R3 Revenue &amp; Messaging",IF(M158&lt;=18,"R4 Patient &amp; Platform",IF(M158&lt;=20,"R5 Harden","R6 Launch")))))</f>
        <v>R4 Patient &amp; Platform</v>
      </c>
      <c r="O158" s="16" t="n">
        <f aca="false">L158*README!$B$32</f>
        <v>3</v>
      </c>
      <c r="P158" s="11" t="s">
        <v>956</v>
      </c>
      <c r="Q158" s="11" t="s">
        <v>957</v>
      </c>
      <c r="R158" s="11" t="s">
        <v>103</v>
      </c>
      <c r="S158" s="11"/>
    </row>
    <row r="159" customFormat="false" ht="23.85" hidden="false" customHeight="false" outlineLevel="0" collapsed="false">
      <c r="A159" s="17" t="s">
        <v>958</v>
      </c>
      <c r="B159" s="17" t="s">
        <v>915</v>
      </c>
      <c r="C159" s="17" t="s">
        <v>916</v>
      </c>
      <c r="D159" s="17" t="s">
        <v>959</v>
      </c>
      <c r="E159" s="17" t="s">
        <v>960</v>
      </c>
      <c r="F159" s="17" t="s">
        <v>931</v>
      </c>
      <c r="G159" s="17" t="s">
        <v>309</v>
      </c>
      <c r="H159" s="17" t="s">
        <v>310</v>
      </c>
      <c r="I159" s="17" t="s">
        <v>292</v>
      </c>
      <c r="J159" s="18" t="s">
        <v>100</v>
      </c>
      <c r="K159" s="18" t="s">
        <v>101</v>
      </c>
      <c r="L159" s="18" t="n">
        <v>5</v>
      </c>
      <c r="M159" s="18" t="n">
        <v>15</v>
      </c>
      <c r="N159" s="17" t="str">
        <f aca="false">IF(M159&lt;=4,"R1 Foundation",IF(M159&lt;=8,"R2 Core Clinic",IF(M159&lt;=13,"R3 Revenue &amp; Messaging",IF(M159&lt;=18,"R4 Patient &amp; Platform",IF(M159&lt;=20,"R5 Harden","R6 Launch")))))</f>
        <v>R4 Patient &amp; Platform</v>
      </c>
      <c r="O159" s="19" t="n">
        <f aca="false">L159*README!$B$32</f>
        <v>3</v>
      </c>
      <c r="P159" s="17" t="s">
        <v>961</v>
      </c>
      <c r="Q159" s="17" t="s">
        <v>962</v>
      </c>
      <c r="R159" s="17" t="s">
        <v>103</v>
      </c>
      <c r="S159" s="17"/>
    </row>
    <row r="160" customFormat="false" ht="15" hidden="false" customHeight="false" outlineLevel="0" collapsed="false">
      <c r="A160" s="11" t="s">
        <v>963</v>
      </c>
      <c r="B160" s="11" t="s">
        <v>915</v>
      </c>
      <c r="C160" s="11" t="s">
        <v>916</v>
      </c>
      <c r="D160" s="11" t="s">
        <v>964</v>
      </c>
      <c r="E160" s="11" t="s">
        <v>965</v>
      </c>
      <c r="F160" s="11" t="s">
        <v>966</v>
      </c>
      <c r="G160" s="11" t="s">
        <v>631</v>
      </c>
      <c r="H160" s="11" t="s">
        <v>291</v>
      </c>
      <c r="I160" s="11" t="s">
        <v>292</v>
      </c>
      <c r="J160" s="15" t="s">
        <v>210</v>
      </c>
      <c r="K160" s="15" t="s">
        <v>211</v>
      </c>
      <c r="L160" s="15" t="n">
        <v>5</v>
      </c>
      <c r="M160" s="15" t="n">
        <v>18</v>
      </c>
      <c r="N160" s="11" t="str">
        <f aca="false">IF(M160&lt;=4,"R1 Foundation",IF(M160&lt;=8,"R2 Core Clinic",IF(M160&lt;=13,"R3 Revenue &amp; Messaging",IF(M160&lt;=18,"R4 Patient &amp; Platform",IF(M160&lt;=20,"R5 Harden","R6 Launch")))))</f>
        <v>R4 Patient &amp; Platform</v>
      </c>
      <c r="O160" s="16" t="n">
        <f aca="false">L160*README!$B$32</f>
        <v>3</v>
      </c>
      <c r="P160" s="11" t="s">
        <v>846</v>
      </c>
      <c r="Q160" s="11" t="s">
        <v>967</v>
      </c>
      <c r="R160" s="11" t="s">
        <v>103</v>
      </c>
      <c r="S160" s="11"/>
    </row>
    <row r="161" customFormat="false" ht="23.85" hidden="false" customHeight="false" outlineLevel="0" collapsed="false">
      <c r="A161" s="17" t="s">
        <v>968</v>
      </c>
      <c r="B161" s="17" t="s">
        <v>915</v>
      </c>
      <c r="C161" s="17" t="s">
        <v>916</v>
      </c>
      <c r="D161" s="17" t="s">
        <v>969</v>
      </c>
      <c r="E161" s="17" t="s">
        <v>970</v>
      </c>
      <c r="F161" s="17"/>
      <c r="G161" s="17" t="s">
        <v>233</v>
      </c>
      <c r="H161" s="17" t="s">
        <v>291</v>
      </c>
      <c r="I161" s="17" t="s">
        <v>292</v>
      </c>
      <c r="J161" s="18" t="s">
        <v>100</v>
      </c>
      <c r="K161" s="18" t="s">
        <v>101</v>
      </c>
      <c r="L161" s="18" t="n">
        <v>8</v>
      </c>
      <c r="M161" s="18" t="n">
        <v>15</v>
      </c>
      <c r="N161" s="17" t="str">
        <f aca="false">IF(M161&lt;=4,"R1 Foundation",IF(M161&lt;=8,"R2 Core Clinic",IF(M161&lt;=13,"R3 Revenue &amp; Messaging",IF(M161&lt;=18,"R4 Patient &amp; Platform",IF(M161&lt;=20,"R5 Harden","R6 Launch")))))</f>
        <v>R4 Patient &amp; Platform</v>
      </c>
      <c r="O161" s="19" t="n">
        <f aca="false">L161*README!$B$32</f>
        <v>4.8</v>
      </c>
      <c r="P161" s="17" t="s">
        <v>971</v>
      </c>
      <c r="Q161" s="17" t="s">
        <v>972</v>
      </c>
      <c r="R161" s="17" t="s">
        <v>103</v>
      </c>
      <c r="S161" s="17"/>
    </row>
    <row r="162" customFormat="false" ht="23.85" hidden="false" customHeight="false" outlineLevel="0" collapsed="false">
      <c r="A162" s="11" t="s">
        <v>973</v>
      </c>
      <c r="B162" s="11" t="s">
        <v>915</v>
      </c>
      <c r="C162" s="11" t="s">
        <v>916</v>
      </c>
      <c r="D162" s="11" t="s">
        <v>974</v>
      </c>
      <c r="E162" s="11" t="s">
        <v>975</v>
      </c>
      <c r="F162" s="11" t="s">
        <v>976</v>
      </c>
      <c r="G162" s="11" t="s">
        <v>233</v>
      </c>
      <c r="H162" s="11" t="s">
        <v>291</v>
      </c>
      <c r="I162" s="11" t="s">
        <v>292</v>
      </c>
      <c r="J162" s="15" t="s">
        <v>100</v>
      </c>
      <c r="K162" s="15" t="s">
        <v>101</v>
      </c>
      <c r="L162" s="15" t="n">
        <v>8</v>
      </c>
      <c r="M162" s="15" t="n">
        <v>16</v>
      </c>
      <c r="N162" s="11" t="str">
        <f aca="false">IF(M162&lt;=4,"R1 Foundation",IF(M162&lt;=8,"R2 Core Clinic",IF(M162&lt;=13,"R3 Revenue &amp; Messaging",IF(M162&lt;=18,"R4 Patient &amp; Platform",IF(M162&lt;=20,"R5 Harden","R6 Launch")))))</f>
        <v>R4 Patient &amp; Platform</v>
      </c>
      <c r="O162" s="16" t="n">
        <f aca="false">L162*README!$B$32</f>
        <v>4.8</v>
      </c>
      <c r="P162" s="11" t="s">
        <v>977</v>
      </c>
      <c r="Q162" s="11" t="s">
        <v>978</v>
      </c>
      <c r="R162" s="11" t="s">
        <v>103</v>
      </c>
      <c r="S162" s="11"/>
    </row>
    <row r="163" customFormat="false" ht="23.85" hidden="false" customHeight="false" outlineLevel="0" collapsed="false">
      <c r="A163" s="17" t="s">
        <v>979</v>
      </c>
      <c r="B163" s="17" t="s">
        <v>980</v>
      </c>
      <c r="C163" s="17" t="s">
        <v>981</v>
      </c>
      <c r="D163" s="17" t="s">
        <v>982</v>
      </c>
      <c r="E163" s="17" t="s">
        <v>983</v>
      </c>
      <c r="F163" s="17"/>
      <c r="G163" s="17" t="s">
        <v>485</v>
      </c>
      <c r="H163" s="17" t="s">
        <v>291</v>
      </c>
      <c r="I163" s="17" t="s">
        <v>292</v>
      </c>
      <c r="J163" s="18" t="s">
        <v>100</v>
      </c>
      <c r="K163" s="18" t="s">
        <v>101</v>
      </c>
      <c r="L163" s="18" t="n">
        <v>13</v>
      </c>
      <c r="M163" s="18" t="n">
        <v>10</v>
      </c>
      <c r="N163" s="17" t="str">
        <f aca="false">IF(M163&lt;=4,"R1 Foundation",IF(M163&lt;=8,"R2 Core Clinic",IF(M163&lt;=13,"R3 Revenue &amp; Messaging",IF(M163&lt;=18,"R4 Patient &amp; Platform",IF(M163&lt;=20,"R5 Harden","R6 Launch")))))</f>
        <v>R3 Revenue &amp; Messaging</v>
      </c>
      <c r="O163" s="19" t="n">
        <f aca="false">L163*README!$B$32</f>
        <v>7.8</v>
      </c>
      <c r="P163" s="17" t="s">
        <v>984</v>
      </c>
      <c r="Q163" s="17" t="s">
        <v>985</v>
      </c>
      <c r="R163" s="17" t="s">
        <v>103</v>
      </c>
      <c r="S163" s="17"/>
    </row>
    <row r="164" customFormat="false" ht="23.85" hidden="false" customHeight="false" outlineLevel="0" collapsed="false">
      <c r="A164" s="11" t="s">
        <v>986</v>
      </c>
      <c r="B164" s="11" t="s">
        <v>980</v>
      </c>
      <c r="C164" s="11" t="s">
        <v>981</v>
      </c>
      <c r="D164" s="11" t="s">
        <v>987</v>
      </c>
      <c r="E164" s="11" t="s">
        <v>988</v>
      </c>
      <c r="F164" s="11" t="s">
        <v>989</v>
      </c>
      <c r="G164" s="11" t="s">
        <v>284</v>
      </c>
      <c r="H164" s="11" t="s">
        <v>291</v>
      </c>
      <c r="I164" s="11" t="s">
        <v>114</v>
      </c>
      <c r="J164" s="15" t="s">
        <v>100</v>
      </c>
      <c r="K164" s="15" t="s">
        <v>101</v>
      </c>
      <c r="L164" s="15" t="n">
        <v>8</v>
      </c>
      <c r="M164" s="15" t="n">
        <v>11</v>
      </c>
      <c r="N164" s="11" t="str">
        <f aca="false">IF(M164&lt;=4,"R1 Foundation",IF(M164&lt;=8,"R2 Core Clinic",IF(M164&lt;=13,"R3 Revenue &amp; Messaging",IF(M164&lt;=18,"R4 Patient &amp; Platform",IF(M164&lt;=20,"R5 Harden","R6 Launch")))))</f>
        <v>R3 Revenue &amp; Messaging</v>
      </c>
      <c r="O164" s="16" t="n">
        <f aca="false">L164*README!$B$32</f>
        <v>4.8</v>
      </c>
      <c r="P164" s="11" t="s">
        <v>979</v>
      </c>
      <c r="Q164" s="11" t="s">
        <v>990</v>
      </c>
      <c r="R164" s="11" t="s">
        <v>103</v>
      </c>
      <c r="S164" s="11"/>
    </row>
    <row r="165" customFormat="false" ht="23.85" hidden="false" customHeight="false" outlineLevel="0" collapsed="false">
      <c r="A165" s="17" t="s">
        <v>991</v>
      </c>
      <c r="B165" s="17" t="s">
        <v>980</v>
      </c>
      <c r="C165" s="17" t="s">
        <v>981</v>
      </c>
      <c r="D165" s="17" t="s">
        <v>992</v>
      </c>
      <c r="E165" s="17" t="s">
        <v>993</v>
      </c>
      <c r="F165" s="17" t="s">
        <v>989</v>
      </c>
      <c r="G165" s="17" t="s">
        <v>284</v>
      </c>
      <c r="H165" s="17" t="s">
        <v>291</v>
      </c>
      <c r="I165" s="17" t="s">
        <v>114</v>
      </c>
      <c r="J165" s="18" t="s">
        <v>100</v>
      </c>
      <c r="K165" s="18" t="s">
        <v>101</v>
      </c>
      <c r="L165" s="18" t="n">
        <v>13</v>
      </c>
      <c r="M165" s="18" t="n">
        <v>12</v>
      </c>
      <c r="N165" s="17" t="str">
        <f aca="false">IF(M165&lt;=4,"R1 Foundation",IF(M165&lt;=8,"R2 Core Clinic",IF(M165&lt;=13,"R3 Revenue &amp; Messaging",IF(M165&lt;=18,"R4 Patient &amp; Platform",IF(M165&lt;=20,"R5 Harden","R6 Launch")))))</f>
        <v>R3 Revenue &amp; Messaging</v>
      </c>
      <c r="O165" s="19" t="n">
        <f aca="false">L165*README!$B$32</f>
        <v>7.8</v>
      </c>
      <c r="P165" s="17" t="s">
        <v>979</v>
      </c>
      <c r="Q165" s="17" t="s">
        <v>994</v>
      </c>
      <c r="R165" s="17" t="s">
        <v>103</v>
      </c>
      <c r="S165" s="17"/>
    </row>
    <row r="166" customFormat="false" ht="23.85" hidden="false" customHeight="false" outlineLevel="0" collapsed="false">
      <c r="A166" s="11" t="s">
        <v>995</v>
      </c>
      <c r="B166" s="11" t="s">
        <v>980</v>
      </c>
      <c r="C166" s="11" t="s">
        <v>981</v>
      </c>
      <c r="D166" s="11" t="s">
        <v>996</v>
      </c>
      <c r="E166" s="11" t="s">
        <v>997</v>
      </c>
      <c r="F166" s="11" t="s">
        <v>124</v>
      </c>
      <c r="G166" s="11" t="s">
        <v>284</v>
      </c>
      <c r="H166" s="11" t="s">
        <v>291</v>
      </c>
      <c r="I166" s="11" t="s">
        <v>292</v>
      </c>
      <c r="J166" s="15" t="s">
        <v>100</v>
      </c>
      <c r="K166" s="15" t="s">
        <v>101</v>
      </c>
      <c r="L166" s="15" t="n">
        <v>5</v>
      </c>
      <c r="M166" s="15" t="n">
        <v>12</v>
      </c>
      <c r="N166" s="11" t="str">
        <f aca="false">IF(M166&lt;=4,"R1 Foundation",IF(M166&lt;=8,"R2 Core Clinic",IF(M166&lt;=13,"R3 Revenue &amp; Messaging",IF(M166&lt;=18,"R4 Patient &amp; Platform",IF(M166&lt;=20,"R5 Harden","R6 Launch")))))</f>
        <v>R3 Revenue &amp; Messaging</v>
      </c>
      <c r="O166" s="16" t="n">
        <f aca="false">L166*README!$B$32</f>
        <v>3</v>
      </c>
      <c r="P166" s="11" t="s">
        <v>998</v>
      </c>
      <c r="Q166" s="11" t="s">
        <v>999</v>
      </c>
      <c r="R166" s="11" t="s">
        <v>103</v>
      </c>
      <c r="S166" s="11"/>
    </row>
    <row r="167" customFormat="false" ht="15" hidden="false" customHeight="false" outlineLevel="0" collapsed="false">
      <c r="A167" s="17" t="s">
        <v>1000</v>
      </c>
      <c r="B167" s="17" t="s">
        <v>980</v>
      </c>
      <c r="C167" s="17" t="s">
        <v>981</v>
      </c>
      <c r="D167" s="17" t="s">
        <v>1001</v>
      </c>
      <c r="E167" s="17" t="s">
        <v>1002</v>
      </c>
      <c r="F167" s="17"/>
      <c r="G167" s="17" t="s">
        <v>233</v>
      </c>
      <c r="H167" s="17" t="s">
        <v>291</v>
      </c>
      <c r="I167" s="17" t="s">
        <v>292</v>
      </c>
      <c r="J167" s="18" t="s">
        <v>100</v>
      </c>
      <c r="K167" s="18" t="s">
        <v>101</v>
      </c>
      <c r="L167" s="18" t="n">
        <v>8</v>
      </c>
      <c r="M167" s="18" t="n">
        <v>14</v>
      </c>
      <c r="N167" s="17" t="str">
        <f aca="false">IF(M167&lt;=4,"R1 Foundation",IF(M167&lt;=8,"R2 Core Clinic",IF(M167&lt;=13,"R3 Revenue &amp; Messaging",IF(M167&lt;=18,"R4 Patient &amp; Platform",IF(M167&lt;=20,"R5 Harden","R6 Launch")))))</f>
        <v>R4 Patient &amp; Platform</v>
      </c>
      <c r="O167" s="19" t="n">
        <f aca="false">L167*README!$B$32</f>
        <v>4.8</v>
      </c>
      <c r="P167" s="17" t="s">
        <v>1003</v>
      </c>
      <c r="Q167" s="17" t="s">
        <v>1004</v>
      </c>
      <c r="R167" s="17" t="s">
        <v>103</v>
      </c>
      <c r="S167" s="17"/>
    </row>
    <row r="168" customFormat="false" ht="23.85" hidden="false" customHeight="false" outlineLevel="0" collapsed="false">
      <c r="A168" s="11" t="s">
        <v>1005</v>
      </c>
      <c r="B168" s="11" t="s">
        <v>980</v>
      </c>
      <c r="C168" s="11" t="s">
        <v>981</v>
      </c>
      <c r="D168" s="11" t="s">
        <v>1006</v>
      </c>
      <c r="E168" s="11" t="s">
        <v>1007</v>
      </c>
      <c r="F168" s="11"/>
      <c r="G168" s="11" t="s">
        <v>485</v>
      </c>
      <c r="H168" s="11" t="s">
        <v>291</v>
      </c>
      <c r="I168" s="11" t="s">
        <v>292</v>
      </c>
      <c r="J168" s="15" t="s">
        <v>100</v>
      </c>
      <c r="K168" s="15" t="s">
        <v>101</v>
      </c>
      <c r="L168" s="15" t="n">
        <v>8</v>
      </c>
      <c r="M168" s="15" t="n">
        <v>13</v>
      </c>
      <c r="N168" s="11" t="str">
        <f aca="false">IF(M168&lt;=4,"R1 Foundation",IF(M168&lt;=8,"R2 Core Clinic",IF(M168&lt;=13,"R3 Revenue &amp; Messaging",IF(M168&lt;=18,"R4 Patient &amp; Platform",IF(M168&lt;=20,"R5 Harden","R6 Launch")))))</f>
        <v>R3 Revenue &amp; Messaging</v>
      </c>
      <c r="O168" s="16" t="n">
        <f aca="false">L168*README!$B$32</f>
        <v>4.8</v>
      </c>
      <c r="P168" s="11" t="s">
        <v>979</v>
      </c>
      <c r="Q168" s="11" t="s">
        <v>1008</v>
      </c>
      <c r="R168" s="11" t="s">
        <v>103</v>
      </c>
      <c r="S168" s="11"/>
    </row>
    <row r="169" customFormat="false" ht="23.85" hidden="false" customHeight="false" outlineLevel="0" collapsed="false">
      <c r="A169" s="17" t="s">
        <v>1009</v>
      </c>
      <c r="B169" s="17" t="s">
        <v>980</v>
      </c>
      <c r="C169" s="17" t="s">
        <v>981</v>
      </c>
      <c r="D169" s="17" t="s">
        <v>1010</v>
      </c>
      <c r="E169" s="17" t="s">
        <v>1011</v>
      </c>
      <c r="F169" s="17"/>
      <c r="G169" s="17" t="s">
        <v>485</v>
      </c>
      <c r="H169" s="17" t="s">
        <v>291</v>
      </c>
      <c r="I169" s="17" t="s">
        <v>1012</v>
      </c>
      <c r="J169" s="18" t="s">
        <v>100</v>
      </c>
      <c r="K169" s="18" t="s">
        <v>101</v>
      </c>
      <c r="L169" s="18" t="n">
        <v>8</v>
      </c>
      <c r="M169" s="18" t="n">
        <v>14</v>
      </c>
      <c r="N169" s="17" t="str">
        <f aca="false">IF(M169&lt;=4,"R1 Foundation",IF(M169&lt;=8,"R2 Core Clinic",IF(M169&lt;=13,"R3 Revenue &amp; Messaging",IF(M169&lt;=18,"R4 Patient &amp; Platform",IF(M169&lt;=20,"R5 Harden","R6 Launch")))))</f>
        <v>R4 Patient &amp; Platform</v>
      </c>
      <c r="O169" s="19" t="n">
        <f aca="false">L169*README!$B$32</f>
        <v>4.8</v>
      </c>
      <c r="P169" s="17" t="s">
        <v>1005</v>
      </c>
      <c r="Q169" s="17" t="s">
        <v>1013</v>
      </c>
      <c r="R169" s="17" t="s">
        <v>103</v>
      </c>
      <c r="S169" s="17"/>
    </row>
    <row r="170" customFormat="false" ht="23.85" hidden="false" customHeight="false" outlineLevel="0" collapsed="false">
      <c r="A170" s="11" t="s">
        <v>1014</v>
      </c>
      <c r="B170" s="11" t="s">
        <v>980</v>
      </c>
      <c r="C170" s="11" t="s">
        <v>981</v>
      </c>
      <c r="D170" s="11" t="s">
        <v>1015</v>
      </c>
      <c r="E170" s="11" t="s">
        <v>1016</v>
      </c>
      <c r="F170" s="11" t="s">
        <v>1017</v>
      </c>
      <c r="G170" s="11" t="s">
        <v>631</v>
      </c>
      <c r="H170" s="11" t="s">
        <v>291</v>
      </c>
      <c r="I170" s="11" t="s">
        <v>292</v>
      </c>
      <c r="J170" s="15" t="s">
        <v>100</v>
      </c>
      <c r="K170" s="15" t="s">
        <v>101</v>
      </c>
      <c r="L170" s="15" t="n">
        <v>5</v>
      </c>
      <c r="M170" s="15" t="n">
        <v>15</v>
      </c>
      <c r="N170" s="11" t="str">
        <f aca="false">IF(M170&lt;=4,"R1 Foundation",IF(M170&lt;=8,"R2 Core Clinic",IF(M170&lt;=13,"R3 Revenue &amp; Messaging",IF(M170&lt;=18,"R4 Patient &amp; Platform",IF(M170&lt;=20,"R5 Harden","R6 Launch")))))</f>
        <v>R4 Patient &amp; Platform</v>
      </c>
      <c r="O170" s="16" t="n">
        <f aca="false">L170*README!$B$32</f>
        <v>3</v>
      </c>
      <c r="P170" s="11" t="s">
        <v>1018</v>
      </c>
      <c r="Q170" s="11" t="s">
        <v>1019</v>
      </c>
      <c r="R170" s="11" t="s">
        <v>103</v>
      </c>
      <c r="S170" s="11"/>
    </row>
    <row r="171" customFormat="false" ht="23.85" hidden="false" customHeight="false" outlineLevel="0" collapsed="false">
      <c r="A171" s="17" t="s">
        <v>1020</v>
      </c>
      <c r="B171" s="17" t="s">
        <v>980</v>
      </c>
      <c r="C171" s="17" t="s">
        <v>981</v>
      </c>
      <c r="D171" s="17" t="s">
        <v>1021</v>
      </c>
      <c r="E171" s="17" t="s">
        <v>1022</v>
      </c>
      <c r="F171" s="17" t="s">
        <v>1023</v>
      </c>
      <c r="G171" s="17" t="s">
        <v>631</v>
      </c>
      <c r="H171" s="17" t="s">
        <v>291</v>
      </c>
      <c r="I171" s="17" t="s">
        <v>292</v>
      </c>
      <c r="J171" s="18" t="s">
        <v>100</v>
      </c>
      <c r="K171" s="18" t="s">
        <v>101</v>
      </c>
      <c r="L171" s="18" t="n">
        <v>8</v>
      </c>
      <c r="M171" s="18" t="n">
        <v>15</v>
      </c>
      <c r="N171" s="17" t="str">
        <f aca="false">IF(M171&lt;=4,"R1 Foundation",IF(M171&lt;=8,"R2 Core Clinic",IF(M171&lt;=13,"R3 Revenue &amp; Messaging",IF(M171&lt;=18,"R4 Patient &amp; Platform",IF(M171&lt;=20,"R5 Harden","R6 Launch")))))</f>
        <v>R4 Patient &amp; Platform</v>
      </c>
      <c r="O171" s="19" t="n">
        <f aca="false">L171*README!$B$32</f>
        <v>4.8</v>
      </c>
      <c r="P171" s="17" t="s">
        <v>1024</v>
      </c>
      <c r="Q171" s="17" t="s">
        <v>1025</v>
      </c>
      <c r="R171" s="17" t="s">
        <v>103</v>
      </c>
      <c r="S171" s="17"/>
    </row>
    <row r="172" customFormat="false" ht="23.85" hidden="false" customHeight="false" outlineLevel="0" collapsed="false">
      <c r="A172" s="11" t="s">
        <v>1026</v>
      </c>
      <c r="B172" s="11" t="s">
        <v>980</v>
      </c>
      <c r="C172" s="11" t="s">
        <v>981</v>
      </c>
      <c r="D172" s="11" t="s">
        <v>1027</v>
      </c>
      <c r="E172" s="11" t="s">
        <v>1028</v>
      </c>
      <c r="F172" s="11" t="s">
        <v>1029</v>
      </c>
      <c r="G172" s="11" t="s">
        <v>284</v>
      </c>
      <c r="H172" s="11" t="s">
        <v>291</v>
      </c>
      <c r="I172" s="11" t="s">
        <v>292</v>
      </c>
      <c r="J172" s="15" t="s">
        <v>100</v>
      </c>
      <c r="K172" s="15" t="s">
        <v>101</v>
      </c>
      <c r="L172" s="15" t="n">
        <v>5</v>
      </c>
      <c r="M172" s="15" t="n">
        <v>15</v>
      </c>
      <c r="N172" s="11" t="str">
        <f aca="false">IF(M172&lt;=4,"R1 Foundation",IF(M172&lt;=8,"R2 Core Clinic",IF(M172&lt;=13,"R3 Revenue &amp; Messaging",IF(M172&lt;=18,"R4 Patient &amp; Platform",IF(M172&lt;=20,"R5 Harden","R6 Launch")))))</f>
        <v>R4 Patient &amp; Platform</v>
      </c>
      <c r="O172" s="16" t="n">
        <f aca="false">L172*README!$B$32</f>
        <v>3</v>
      </c>
      <c r="P172" s="11" t="s">
        <v>1030</v>
      </c>
      <c r="Q172" s="11" t="s">
        <v>1031</v>
      </c>
      <c r="R172" s="11" t="s">
        <v>103</v>
      </c>
      <c r="S172" s="11"/>
    </row>
    <row r="173" customFormat="false" ht="23.85" hidden="false" customHeight="false" outlineLevel="0" collapsed="false">
      <c r="A173" s="17" t="s">
        <v>1032</v>
      </c>
      <c r="B173" s="17" t="s">
        <v>980</v>
      </c>
      <c r="C173" s="17" t="s">
        <v>981</v>
      </c>
      <c r="D173" s="17" t="s">
        <v>1033</v>
      </c>
      <c r="E173" s="17" t="s">
        <v>1034</v>
      </c>
      <c r="F173" s="17" t="s">
        <v>1035</v>
      </c>
      <c r="G173" s="17" t="s">
        <v>233</v>
      </c>
      <c r="H173" s="17" t="s">
        <v>291</v>
      </c>
      <c r="I173" s="17" t="s">
        <v>292</v>
      </c>
      <c r="J173" s="18" t="s">
        <v>100</v>
      </c>
      <c r="K173" s="18" t="s">
        <v>101</v>
      </c>
      <c r="L173" s="18" t="n">
        <v>8</v>
      </c>
      <c r="M173" s="18" t="n">
        <v>14</v>
      </c>
      <c r="N173" s="17" t="str">
        <f aca="false">IF(M173&lt;=4,"R1 Foundation",IF(M173&lt;=8,"R2 Core Clinic",IF(M173&lt;=13,"R3 Revenue &amp; Messaging",IF(M173&lt;=18,"R4 Patient &amp; Platform",IF(M173&lt;=20,"R5 Harden","R6 Launch")))))</f>
        <v>R4 Patient &amp; Platform</v>
      </c>
      <c r="O173" s="19" t="n">
        <f aca="false">L173*README!$B$32</f>
        <v>4.8</v>
      </c>
      <c r="P173" s="17" t="s">
        <v>1005</v>
      </c>
      <c r="Q173" s="17" t="s">
        <v>1036</v>
      </c>
      <c r="R173" s="17" t="s">
        <v>103</v>
      </c>
      <c r="S173" s="17"/>
    </row>
    <row r="174" customFormat="false" ht="23.85" hidden="false" customHeight="false" outlineLevel="0" collapsed="false">
      <c r="A174" s="11" t="s">
        <v>1037</v>
      </c>
      <c r="B174" s="11" t="s">
        <v>980</v>
      </c>
      <c r="C174" s="11" t="s">
        <v>981</v>
      </c>
      <c r="D174" s="11" t="s">
        <v>1038</v>
      </c>
      <c r="E174" s="11" t="s">
        <v>1039</v>
      </c>
      <c r="F174" s="11" t="s">
        <v>1040</v>
      </c>
      <c r="G174" s="11" t="s">
        <v>485</v>
      </c>
      <c r="H174" s="11" t="s">
        <v>291</v>
      </c>
      <c r="I174" s="11" t="s">
        <v>292</v>
      </c>
      <c r="J174" s="15" t="s">
        <v>130</v>
      </c>
      <c r="K174" s="15" t="s">
        <v>101</v>
      </c>
      <c r="L174" s="15" t="n">
        <v>5</v>
      </c>
      <c r="M174" s="15" t="n">
        <v>16</v>
      </c>
      <c r="N174" s="11" t="str">
        <f aca="false">IF(M174&lt;=4,"R1 Foundation",IF(M174&lt;=8,"R2 Core Clinic",IF(M174&lt;=13,"R3 Revenue &amp; Messaging",IF(M174&lt;=18,"R4 Patient &amp; Platform",IF(M174&lt;=20,"R5 Harden","R6 Launch")))))</f>
        <v>R4 Patient &amp; Platform</v>
      </c>
      <c r="O174" s="16" t="n">
        <f aca="false">L174*README!$B$32</f>
        <v>3</v>
      </c>
      <c r="P174" s="11" t="s">
        <v>1032</v>
      </c>
      <c r="Q174" s="11" t="s">
        <v>1041</v>
      </c>
      <c r="R174" s="11" t="s">
        <v>103</v>
      </c>
      <c r="S174" s="11"/>
    </row>
    <row r="175" customFormat="false" ht="23.85" hidden="false" customHeight="false" outlineLevel="0" collapsed="false">
      <c r="A175" s="17" t="s">
        <v>1042</v>
      </c>
      <c r="B175" s="17" t="s">
        <v>980</v>
      </c>
      <c r="C175" s="17" t="s">
        <v>981</v>
      </c>
      <c r="D175" s="17" t="s">
        <v>1043</v>
      </c>
      <c r="E175" s="17" t="s">
        <v>1044</v>
      </c>
      <c r="F175" s="17" t="s">
        <v>507</v>
      </c>
      <c r="G175" s="17" t="s">
        <v>485</v>
      </c>
      <c r="H175" s="17" t="s">
        <v>291</v>
      </c>
      <c r="I175" s="17" t="s">
        <v>292</v>
      </c>
      <c r="J175" s="18" t="s">
        <v>100</v>
      </c>
      <c r="K175" s="18" t="s">
        <v>101</v>
      </c>
      <c r="L175" s="18" t="n">
        <v>5</v>
      </c>
      <c r="M175" s="18" t="n">
        <v>15</v>
      </c>
      <c r="N175" s="17" t="str">
        <f aca="false">IF(M175&lt;=4,"R1 Foundation",IF(M175&lt;=8,"R2 Core Clinic",IF(M175&lt;=13,"R3 Revenue &amp; Messaging",IF(M175&lt;=18,"R4 Patient &amp; Platform",IF(M175&lt;=20,"R5 Harden","R6 Launch")))))</f>
        <v>R4 Patient &amp; Platform</v>
      </c>
      <c r="O175" s="19" t="n">
        <f aca="false">L175*README!$B$32</f>
        <v>3</v>
      </c>
      <c r="P175" s="17" t="s">
        <v>1045</v>
      </c>
      <c r="Q175" s="17" t="s">
        <v>1046</v>
      </c>
      <c r="R175" s="17" t="s">
        <v>103</v>
      </c>
      <c r="S175" s="17"/>
    </row>
    <row r="176" customFormat="false" ht="35.05" hidden="false" customHeight="false" outlineLevel="0" collapsed="false">
      <c r="A176" s="11" t="s">
        <v>1047</v>
      </c>
      <c r="B176" s="11" t="s">
        <v>980</v>
      </c>
      <c r="C176" s="11" t="s">
        <v>981</v>
      </c>
      <c r="D176" s="11" t="s">
        <v>1048</v>
      </c>
      <c r="E176" s="11" t="s">
        <v>1049</v>
      </c>
      <c r="F176" s="11" t="s">
        <v>1050</v>
      </c>
      <c r="G176" s="11" t="s">
        <v>399</v>
      </c>
      <c r="H176" s="11" t="s">
        <v>291</v>
      </c>
      <c r="I176" s="11" t="s">
        <v>292</v>
      </c>
      <c r="J176" s="15" t="s">
        <v>130</v>
      </c>
      <c r="K176" s="15" t="s">
        <v>101</v>
      </c>
      <c r="L176" s="15" t="n">
        <v>8</v>
      </c>
      <c r="M176" s="15" t="n">
        <v>17</v>
      </c>
      <c r="N176" s="11" t="str">
        <f aca="false">IF(M176&lt;=4,"R1 Foundation",IF(M176&lt;=8,"R2 Core Clinic",IF(M176&lt;=13,"R3 Revenue &amp; Messaging",IF(M176&lt;=18,"R4 Patient &amp; Platform",IF(M176&lt;=20,"R5 Harden","R6 Launch")))))</f>
        <v>R4 Patient &amp; Platform</v>
      </c>
      <c r="O176" s="16" t="n">
        <f aca="false">L176*README!$B$32</f>
        <v>4.8</v>
      </c>
      <c r="P176" s="11" t="s">
        <v>1051</v>
      </c>
      <c r="Q176" s="11" t="s">
        <v>1052</v>
      </c>
      <c r="R176" s="11" t="s">
        <v>103</v>
      </c>
      <c r="S176" s="11"/>
    </row>
    <row r="177" customFormat="false" ht="23.85" hidden="false" customHeight="false" outlineLevel="0" collapsed="false">
      <c r="A177" s="17" t="s">
        <v>1053</v>
      </c>
      <c r="B177" s="17" t="s">
        <v>980</v>
      </c>
      <c r="C177" s="17" t="s">
        <v>981</v>
      </c>
      <c r="D177" s="17" t="s">
        <v>1054</v>
      </c>
      <c r="E177" s="17" t="s">
        <v>1055</v>
      </c>
      <c r="F177" s="17" t="s">
        <v>1056</v>
      </c>
      <c r="G177" s="17" t="s">
        <v>485</v>
      </c>
      <c r="H177" s="17" t="s">
        <v>291</v>
      </c>
      <c r="I177" s="17" t="s">
        <v>1012</v>
      </c>
      <c r="J177" s="18" t="s">
        <v>130</v>
      </c>
      <c r="K177" s="18" t="s">
        <v>211</v>
      </c>
      <c r="L177" s="18" t="n">
        <v>8</v>
      </c>
      <c r="M177" s="18" t="n">
        <v>19</v>
      </c>
      <c r="N177" s="17" t="str">
        <f aca="false">IF(M177&lt;=4,"R1 Foundation",IF(M177&lt;=8,"R2 Core Clinic",IF(M177&lt;=13,"R3 Revenue &amp; Messaging",IF(M177&lt;=18,"R4 Patient &amp; Platform",IF(M177&lt;=20,"R5 Harden","R6 Launch")))))</f>
        <v>R5 Harden</v>
      </c>
      <c r="O177" s="19" t="n">
        <f aca="false">L177*README!$B$32</f>
        <v>4.8</v>
      </c>
      <c r="P177" s="17" t="s">
        <v>1051</v>
      </c>
      <c r="Q177" s="17" t="s">
        <v>1057</v>
      </c>
      <c r="R177" s="17" t="s">
        <v>103</v>
      </c>
      <c r="S177" s="17"/>
    </row>
    <row r="178" customFormat="false" ht="35.05" hidden="false" customHeight="false" outlineLevel="0" collapsed="false">
      <c r="A178" s="11" t="s">
        <v>1058</v>
      </c>
      <c r="B178" s="11" t="s">
        <v>1059</v>
      </c>
      <c r="C178" s="11" t="s">
        <v>1060</v>
      </c>
      <c r="D178" s="11" t="s">
        <v>1061</v>
      </c>
      <c r="E178" s="11" t="s">
        <v>1062</v>
      </c>
      <c r="F178" s="11" t="s">
        <v>1063</v>
      </c>
      <c r="G178" s="11" t="s">
        <v>233</v>
      </c>
      <c r="H178" s="11" t="s">
        <v>291</v>
      </c>
      <c r="I178" s="11" t="s">
        <v>292</v>
      </c>
      <c r="J178" s="15" t="s">
        <v>100</v>
      </c>
      <c r="K178" s="15" t="s">
        <v>101</v>
      </c>
      <c r="L178" s="15" t="n">
        <v>8</v>
      </c>
      <c r="M178" s="15" t="n">
        <v>16</v>
      </c>
      <c r="N178" s="11" t="str">
        <f aca="false">IF(M178&lt;=4,"R1 Foundation",IF(M178&lt;=8,"R2 Core Clinic",IF(M178&lt;=13,"R3 Revenue &amp; Messaging",IF(M178&lt;=18,"R4 Patient &amp; Platform",IF(M178&lt;=20,"R5 Harden","R6 Launch")))))</f>
        <v>R4 Patient &amp; Platform</v>
      </c>
      <c r="O178" s="16" t="n">
        <f aca="false">L178*README!$B$32</f>
        <v>4.8</v>
      </c>
      <c r="P178" s="11" t="s">
        <v>1064</v>
      </c>
      <c r="Q178" s="11" t="s">
        <v>1065</v>
      </c>
      <c r="R178" s="11" t="s">
        <v>103</v>
      </c>
      <c r="S178" s="11"/>
    </row>
    <row r="179" customFormat="false" ht="23.85" hidden="false" customHeight="false" outlineLevel="0" collapsed="false">
      <c r="A179" s="17" t="s">
        <v>1066</v>
      </c>
      <c r="B179" s="17" t="s">
        <v>1059</v>
      </c>
      <c r="C179" s="17" t="s">
        <v>1060</v>
      </c>
      <c r="D179" s="17" t="s">
        <v>1067</v>
      </c>
      <c r="E179" s="17" t="s">
        <v>1068</v>
      </c>
      <c r="F179" s="17" t="s">
        <v>1069</v>
      </c>
      <c r="G179" s="17" t="s">
        <v>284</v>
      </c>
      <c r="H179" s="17" t="s">
        <v>291</v>
      </c>
      <c r="I179" s="17" t="s">
        <v>292</v>
      </c>
      <c r="J179" s="18" t="s">
        <v>100</v>
      </c>
      <c r="K179" s="18" t="s">
        <v>101</v>
      </c>
      <c r="L179" s="18" t="n">
        <v>5</v>
      </c>
      <c r="M179" s="18" t="n">
        <v>16</v>
      </c>
      <c r="N179" s="17" t="str">
        <f aca="false">IF(M179&lt;=4,"R1 Foundation",IF(M179&lt;=8,"R2 Core Clinic",IF(M179&lt;=13,"R3 Revenue &amp; Messaging",IF(M179&lt;=18,"R4 Patient &amp; Platform",IF(M179&lt;=20,"R5 Harden","R6 Launch")))))</f>
        <v>R4 Patient &amp; Platform</v>
      </c>
      <c r="O179" s="19" t="n">
        <f aca="false">L179*README!$B$32</f>
        <v>3</v>
      </c>
      <c r="P179" s="17" t="s">
        <v>1058</v>
      </c>
      <c r="Q179" s="17" t="s">
        <v>1070</v>
      </c>
      <c r="R179" s="17" t="s">
        <v>103</v>
      </c>
      <c r="S179" s="17"/>
    </row>
    <row r="180" customFormat="false" ht="23.85" hidden="false" customHeight="false" outlineLevel="0" collapsed="false">
      <c r="A180" s="11" t="s">
        <v>1071</v>
      </c>
      <c r="B180" s="11" t="s">
        <v>1059</v>
      </c>
      <c r="C180" s="11" t="s">
        <v>1060</v>
      </c>
      <c r="D180" s="11" t="s">
        <v>1072</v>
      </c>
      <c r="E180" s="11" t="s">
        <v>1073</v>
      </c>
      <c r="F180" s="11" t="s">
        <v>1074</v>
      </c>
      <c r="G180" s="11" t="s">
        <v>485</v>
      </c>
      <c r="H180" s="11" t="s">
        <v>291</v>
      </c>
      <c r="I180" s="11" t="s">
        <v>292</v>
      </c>
      <c r="J180" s="15" t="s">
        <v>100</v>
      </c>
      <c r="K180" s="15" t="s">
        <v>101</v>
      </c>
      <c r="L180" s="15" t="n">
        <v>8</v>
      </c>
      <c r="M180" s="15" t="n">
        <v>17</v>
      </c>
      <c r="N180" s="11" t="str">
        <f aca="false">IF(M180&lt;=4,"R1 Foundation",IF(M180&lt;=8,"R2 Core Clinic",IF(M180&lt;=13,"R3 Revenue &amp; Messaging",IF(M180&lt;=18,"R4 Patient &amp; Platform",IF(M180&lt;=20,"R5 Harden","R6 Launch")))))</f>
        <v>R4 Patient &amp; Platform</v>
      </c>
      <c r="O180" s="16" t="n">
        <f aca="false">L180*README!$B$32</f>
        <v>4.8</v>
      </c>
      <c r="P180" s="11" t="s">
        <v>1075</v>
      </c>
      <c r="Q180" s="11" t="s">
        <v>1076</v>
      </c>
      <c r="R180" s="11" t="s">
        <v>103</v>
      </c>
      <c r="S180" s="11"/>
    </row>
    <row r="181" customFormat="false" ht="23.85" hidden="false" customHeight="false" outlineLevel="0" collapsed="false">
      <c r="A181" s="17" t="s">
        <v>1077</v>
      </c>
      <c r="B181" s="17" t="s">
        <v>1059</v>
      </c>
      <c r="C181" s="17" t="s">
        <v>1060</v>
      </c>
      <c r="D181" s="17" t="s">
        <v>1078</v>
      </c>
      <c r="E181" s="17" t="s">
        <v>1079</v>
      </c>
      <c r="F181" s="17" t="s">
        <v>1080</v>
      </c>
      <c r="G181" s="17" t="s">
        <v>485</v>
      </c>
      <c r="H181" s="17" t="s">
        <v>291</v>
      </c>
      <c r="I181" s="17" t="s">
        <v>292</v>
      </c>
      <c r="J181" s="18" t="s">
        <v>100</v>
      </c>
      <c r="K181" s="18" t="s">
        <v>101</v>
      </c>
      <c r="L181" s="18" t="n">
        <v>8</v>
      </c>
      <c r="M181" s="18" t="n">
        <v>17</v>
      </c>
      <c r="N181" s="17" t="str">
        <f aca="false">IF(M181&lt;=4,"R1 Foundation",IF(M181&lt;=8,"R2 Core Clinic",IF(M181&lt;=13,"R3 Revenue &amp; Messaging",IF(M181&lt;=18,"R4 Patient &amp; Platform",IF(M181&lt;=20,"R5 Harden","R6 Launch")))))</f>
        <v>R4 Patient &amp; Platform</v>
      </c>
      <c r="O181" s="19" t="n">
        <f aca="false">L181*README!$B$32</f>
        <v>4.8</v>
      </c>
      <c r="P181" s="17" t="s">
        <v>1081</v>
      </c>
      <c r="Q181" s="17" t="s">
        <v>1082</v>
      </c>
      <c r="R181" s="17" t="s">
        <v>103</v>
      </c>
      <c r="S181" s="17"/>
    </row>
    <row r="182" customFormat="false" ht="23.85" hidden="false" customHeight="false" outlineLevel="0" collapsed="false">
      <c r="A182" s="11" t="s">
        <v>1083</v>
      </c>
      <c r="B182" s="11" t="s">
        <v>1059</v>
      </c>
      <c r="C182" s="11" t="s">
        <v>1060</v>
      </c>
      <c r="D182" s="11" t="s">
        <v>1084</v>
      </c>
      <c r="E182" s="11" t="s">
        <v>1085</v>
      </c>
      <c r="F182" s="11" t="s">
        <v>1086</v>
      </c>
      <c r="G182" s="11" t="s">
        <v>284</v>
      </c>
      <c r="H182" s="11" t="s">
        <v>291</v>
      </c>
      <c r="I182" s="11" t="s">
        <v>292</v>
      </c>
      <c r="J182" s="15" t="s">
        <v>100</v>
      </c>
      <c r="K182" s="15" t="s">
        <v>211</v>
      </c>
      <c r="L182" s="15" t="n">
        <v>8</v>
      </c>
      <c r="M182" s="15" t="n">
        <v>18</v>
      </c>
      <c r="N182" s="11" t="str">
        <f aca="false">IF(M182&lt;=4,"R1 Foundation",IF(M182&lt;=8,"R2 Core Clinic",IF(M182&lt;=13,"R3 Revenue &amp; Messaging",IF(M182&lt;=18,"R4 Patient &amp; Platform",IF(M182&lt;=20,"R5 Harden","R6 Launch")))))</f>
        <v>R4 Patient &amp; Platform</v>
      </c>
      <c r="O182" s="16" t="n">
        <f aca="false">L182*README!$B$32</f>
        <v>4.8</v>
      </c>
      <c r="P182" s="11" t="s">
        <v>1066</v>
      </c>
      <c r="Q182" s="11" t="s">
        <v>1087</v>
      </c>
      <c r="R182" s="11" t="s">
        <v>103</v>
      </c>
      <c r="S182" s="11"/>
    </row>
    <row r="183" customFormat="false" ht="23.85" hidden="false" customHeight="false" outlineLevel="0" collapsed="false">
      <c r="A183" s="17" t="s">
        <v>1088</v>
      </c>
      <c r="B183" s="17" t="s">
        <v>1059</v>
      </c>
      <c r="C183" s="17" t="s">
        <v>1060</v>
      </c>
      <c r="D183" s="17" t="s">
        <v>1089</v>
      </c>
      <c r="E183" s="17" t="s">
        <v>1090</v>
      </c>
      <c r="F183" s="17" t="s">
        <v>1091</v>
      </c>
      <c r="G183" s="17" t="s">
        <v>284</v>
      </c>
      <c r="H183" s="17" t="s">
        <v>291</v>
      </c>
      <c r="I183" s="17" t="s">
        <v>292</v>
      </c>
      <c r="J183" s="18" t="s">
        <v>100</v>
      </c>
      <c r="K183" s="18" t="s">
        <v>211</v>
      </c>
      <c r="L183" s="18" t="n">
        <v>8</v>
      </c>
      <c r="M183" s="18" t="n">
        <v>18</v>
      </c>
      <c r="N183" s="17" t="str">
        <f aca="false">IF(M183&lt;=4,"R1 Foundation",IF(M183&lt;=8,"R2 Core Clinic",IF(M183&lt;=13,"R3 Revenue &amp; Messaging",IF(M183&lt;=18,"R4 Patient &amp; Platform",IF(M183&lt;=20,"R5 Harden","R6 Launch")))))</f>
        <v>R4 Patient &amp; Platform</v>
      </c>
      <c r="O183" s="19" t="n">
        <f aca="false">L183*README!$B$32</f>
        <v>4.8</v>
      </c>
      <c r="P183" s="17" t="s">
        <v>1092</v>
      </c>
      <c r="Q183" s="17" t="s">
        <v>1093</v>
      </c>
      <c r="R183" s="17" t="s">
        <v>103</v>
      </c>
      <c r="S183" s="17"/>
    </row>
    <row r="184" customFormat="false" ht="23.85" hidden="false" customHeight="false" outlineLevel="0" collapsed="false">
      <c r="A184" s="11" t="s">
        <v>1094</v>
      </c>
      <c r="B184" s="11" t="s">
        <v>1059</v>
      </c>
      <c r="C184" s="11" t="s">
        <v>1060</v>
      </c>
      <c r="D184" s="11" t="s">
        <v>1095</v>
      </c>
      <c r="E184" s="11" t="s">
        <v>1096</v>
      </c>
      <c r="F184" s="11" t="s">
        <v>1097</v>
      </c>
      <c r="G184" s="11" t="s">
        <v>233</v>
      </c>
      <c r="H184" s="11" t="s">
        <v>291</v>
      </c>
      <c r="I184" s="11" t="s">
        <v>292</v>
      </c>
      <c r="J184" s="15" t="s">
        <v>130</v>
      </c>
      <c r="K184" s="15" t="s">
        <v>211</v>
      </c>
      <c r="L184" s="15" t="n">
        <v>5</v>
      </c>
      <c r="M184" s="15" t="n">
        <v>19</v>
      </c>
      <c r="N184" s="11" t="str">
        <f aca="false">IF(M184&lt;=4,"R1 Foundation",IF(M184&lt;=8,"R2 Core Clinic",IF(M184&lt;=13,"R3 Revenue &amp; Messaging",IF(M184&lt;=18,"R4 Patient &amp; Platform",IF(M184&lt;=20,"R5 Harden","R6 Launch")))))</f>
        <v>R5 Harden</v>
      </c>
      <c r="O184" s="16" t="n">
        <f aca="false">L184*README!$B$32</f>
        <v>3</v>
      </c>
      <c r="P184" s="11" t="s">
        <v>1098</v>
      </c>
      <c r="Q184" s="11" t="s">
        <v>1099</v>
      </c>
      <c r="R184" s="11" t="s">
        <v>103</v>
      </c>
      <c r="S184" s="11"/>
    </row>
    <row r="185" customFormat="false" ht="23.85" hidden="false" customHeight="false" outlineLevel="0" collapsed="false">
      <c r="A185" s="17" t="s">
        <v>1100</v>
      </c>
      <c r="B185" s="17" t="s">
        <v>1059</v>
      </c>
      <c r="C185" s="17" t="s">
        <v>1060</v>
      </c>
      <c r="D185" s="17" t="s">
        <v>1101</v>
      </c>
      <c r="E185" s="17" t="s">
        <v>1102</v>
      </c>
      <c r="F185" s="17" t="s">
        <v>1103</v>
      </c>
      <c r="G185" s="17" t="s">
        <v>310</v>
      </c>
      <c r="H185" s="17" t="s">
        <v>310</v>
      </c>
      <c r="I185" s="17" t="s">
        <v>292</v>
      </c>
      <c r="J185" s="18" t="s">
        <v>130</v>
      </c>
      <c r="K185" s="18" t="s">
        <v>211</v>
      </c>
      <c r="L185" s="18" t="n">
        <v>5</v>
      </c>
      <c r="M185" s="18" t="n">
        <v>19</v>
      </c>
      <c r="N185" s="17" t="str">
        <f aca="false">IF(M185&lt;=4,"R1 Foundation",IF(M185&lt;=8,"R2 Core Clinic",IF(M185&lt;=13,"R3 Revenue &amp; Messaging",IF(M185&lt;=18,"R4 Patient &amp; Platform",IF(M185&lt;=20,"R5 Harden","R6 Launch")))))</f>
        <v>R5 Harden</v>
      </c>
      <c r="O185" s="19" t="n">
        <f aca="false">L185*README!$B$32</f>
        <v>3</v>
      </c>
      <c r="P185" s="17" t="s">
        <v>1104</v>
      </c>
      <c r="Q185" s="17" t="s">
        <v>1105</v>
      </c>
      <c r="R185" s="17" t="s">
        <v>103</v>
      </c>
      <c r="S185" s="17"/>
    </row>
    <row r="186" customFormat="false" ht="23.85" hidden="false" customHeight="false" outlineLevel="0" collapsed="false">
      <c r="A186" s="11" t="s">
        <v>1106</v>
      </c>
      <c r="B186" s="11" t="s">
        <v>1059</v>
      </c>
      <c r="C186" s="11" t="s">
        <v>1060</v>
      </c>
      <c r="D186" s="11" t="s">
        <v>1107</v>
      </c>
      <c r="E186" s="11" t="s">
        <v>1108</v>
      </c>
      <c r="F186" s="11" t="s">
        <v>1109</v>
      </c>
      <c r="G186" s="11" t="s">
        <v>302</v>
      </c>
      <c r="H186" s="11" t="s">
        <v>291</v>
      </c>
      <c r="I186" s="11" t="s">
        <v>292</v>
      </c>
      <c r="J186" s="15" t="s">
        <v>130</v>
      </c>
      <c r="K186" s="15" t="s">
        <v>101</v>
      </c>
      <c r="L186" s="15" t="n">
        <v>5</v>
      </c>
      <c r="M186" s="15" t="n">
        <v>17</v>
      </c>
      <c r="N186" s="11" t="str">
        <f aca="false">IF(M186&lt;=4,"R1 Foundation",IF(M186&lt;=8,"R2 Core Clinic",IF(M186&lt;=13,"R3 Revenue &amp; Messaging",IF(M186&lt;=18,"R4 Patient &amp; Platform",IF(M186&lt;=20,"R5 Harden","R6 Launch")))))</f>
        <v>R4 Patient &amp; Platform</v>
      </c>
      <c r="O186" s="16" t="n">
        <f aca="false">L186*README!$B$32</f>
        <v>3</v>
      </c>
      <c r="P186" s="11" t="s">
        <v>749</v>
      </c>
      <c r="Q186" s="11" t="s">
        <v>1110</v>
      </c>
      <c r="R186" s="11" t="s">
        <v>103</v>
      </c>
      <c r="S186" s="11"/>
    </row>
    <row r="187" customFormat="false" ht="23.85" hidden="false" customHeight="false" outlineLevel="0" collapsed="false">
      <c r="A187" s="17" t="s">
        <v>1111</v>
      </c>
      <c r="B187" s="17" t="s">
        <v>1059</v>
      </c>
      <c r="C187" s="17" t="s">
        <v>1060</v>
      </c>
      <c r="D187" s="17" t="s">
        <v>1112</v>
      </c>
      <c r="E187" s="17" t="s">
        <v>1113</v>
      </c>
      <c r="F187" s="17" t="s">
        <v>1069</v>
      </c>
      <c r="G187" s="17" t="s">
        <v>485</v>
      </c>
      <c r="H187" s="17" t="s">
        <v>291</v>
      </c>
      <c r="I187" s="17" t="s">
        <v>292</v>
      </c>
      <c r="J187" s="18" t="s">
        <v>210</v>
      </c>
      <c r="K187" s="18" t="s">
        <v>211</v>
      </c>
      <c r="L187" s="18" t="n">
        <v>5</v>
      </c>
      <c r="M187" s="18" t="n">
        <v>20</v>
      </c>
      <c r="N187" s="17" t="str">
        <f aca="false">IF(M187&lt;=4,"R1 Foundation",IF(M187&lt;=8,"R2 Core Clinic",IF(M187&lt;=13,"R3 Revenue &amp; Messaging",IF(M187&lt;=18,"R4 Patient &amp; Platform",IF(M187&lt;=20,"R5 Harden","R6 Launch")))))</f>
        <v>R5 Harden</v>
      </c>
      <c r="O187" s="19" t="n">
        <f aca="false">L187*README!$B$32</f>
        <v>3</v>
      </c>
      <c r="P187" s="17" t="s">
        <v>1077</v>
      </c>
      <c r="Q187" s="17" t="s">
        <v>1114</v>
      </c>
      <c r="R187" s="17" t="s">
        <v>103</v>
      </c>
      <c r="S187" s="17"/>
    </row>
    <row r="188" customFormat="false" ht="15" hidden="false" customHeight="false" outlineLevel="0" collapsed="false">
      <c r="A188" s="11" t="s">
        <v>1115</v>
      </c>
      <c r="B188" s="11" t="s">
        <v>1059</v>
      </c>
      <c r="C188" s="11" t="s">
        <v>1060</v>
      </c>
      <c r="D188" s="11" t="s">
        <v>1116</v>
      </c>
      <c r="E188" s="11" t="s">
        <v>1117</v>
      </c>
      <c r="F188" s="11" t="s">
        <v>1118</v>
      </c>
      <c r="G188" s="11" t="s">
        <v>233</v>
      </c>
      <c r="H188" s="11" t="s">
        <v>291</v>
      </c>
      <c r="I188" s="11" t="s">
        <v>292</v>
      </c>
      <c r="J188" s="15" t="s">
        <v>210</v>
      </c>
      <c r="K188" s="15" t="s">
        <v>460</v>
      </c>
      <c r="L188" s="15" t="n">
        <v>5</v>
      </c>
      <c r="M188" s="15" t="n">
        <v>21</v>
      </c>
      <c r="N188" s="11" t="str">
        <f aca="false">IF(M188&lt;=4,"R1 Foundation",IF(M188&lt;=8,"R2 Core Clinic",IF(M188&lt;=13,"R3 Revenue &amp; Messaging",IF(M188&lt;=18,"R4 Patient &amp; Platform",IF(M188&lt;=20,"R5 Harden","R6 Launch")))))</f>
        <v>R6 Launch</v>
      </c>
      <c r="O188" s="16" t="n">
        <f aca="false">L188*README!$B$32</f>
        <v>3</v>
      </c>
      <c r="P188" s="11" t="s">
        <v>1119</v>
      </c>
      <c r="Q188" s="11" t="s">
        <v>1120</v>
      </c>
      <c r="R188" s="11" t="s">
        <v>103</v>
      </c>
      <c r="S188" s="11"/>
    </row>
    <row r="189" customFormat="false" ht="35.05" hidden="false" customHeight="false" outlineLevel="0" collapsed="false">
      <c r="A189" s="17" t="s">
        <v>1121</v>
      </c>
      <c r="B189" s="17" t="s">
        <v>1122</v>
      </c>
      <c r="C189" s="17" t="s">
        <v>1123</v>
      </c>
      <c r="D189" s="17" t="s">
        <v>1124</v>
      </c>
      <c r="E189" s="17" t="s">
        <v>1125</v>
      </c>
      <c r="F189" s="17" t="s">
        <v>1126</v>
      </c>
      <c r="G189" s="17" t="s">
        <v>142</v>
      </c>
      <c r="H189" s="17" t="s">
        <v>310</v>
      </c>
      <c r="I189" s="17" t="s">
        <v>1012</v>
      </c>
      <c r="J189" s="18" t="s">
        <v>100</v>
      </c>
      <c r="K189" s="18" t="s">
        <v>101</v>
      </c>
      <c r="L189" s="18" t="n">
        <v>13</v>
      </c>
      <c r="M189" s="18" t="n">
        <v>9</v>
      </c>
      <c r="N189" s="17" t="str">
        <f aca="false">IF(M189&lt;=4,"R1 Foundation",IF(M189&lt;=8,"R2 Core Clinic",IF(M189&lt;=13,"R3 Revenue &amp; Messaging",IF(M189&lt;=18,"R4 Patient &amp; Platform",IF(M189&lt;=20,"R5 Harden","R6 Launch")))))</f>
        <v>R3 Revenue &amp; Messaging</v>
      </c>
      <c r="O189" s="19" t="n">
        <f aca="false">L189*README!$B$32</f>
        <v>7.8</v>
      </c>
      <c r="P189" s="17" t="s">
        <v>1127</v>
      </c>
      <c r="Q189" s="17" t="s">
        <v>1128</v>
      </c>
      <c r="R189" s="17" t="s">
        <v>103</v>
      </c>
      <c r="S189" s="17"/>
    </row>
    <row r="190" customFormat="false" ht="23.85" hidden="false" customHeight="false" outlineLevel="0" collapsed="false">
      <c r="A190" s="11" t="s">
        <v>1129</v>
      </c>
      <c r="B190" s="11" t="s">
        <v>1122</v>
      </c>
      <c r="C190" s="11" t="s">
        <v>1123</v>
      </c>
      <c r="D190" s="11" t="s">
        <v>1130</v>
      </c>
      <c r="E190" s="11" t="s">
        <v>1131</v>
      </c>
      <c r="F190" s="11" t="s">
        <v>1132</v>
      </c>
      <c r="G190" s="11" t="s">
        <v>1133</v>
      </c>
      <c r="H190" s="11" t="s">
        <v>310</v>
      </c>
      <c r="I190" s="11" t="s">
        <v>1012</v>
      </c>
      <c r="J190" s="15" t="s">
        <v>100</v>
      </c>
      <c r="K190" s="15" t="s">
        <v>101</v>
      </c>
      <c r="L190" s="15" t="n">
        <v>8</v>
      </c>
      <c r="M190" s="15" t="n">
        <v>12</v>
      </c>
      <c r="N190" s="11" t="str">
        <f aca="false">IF(M190&lt;=4,"R1 Foundation",IF(M190&lt;=8,"R2 Core Clinic",IF(M190&lt;=13,"R3 Revenue &amp; Messaging",IF(M190&lt;=18,"R4 Patient &amp; Platform",IF(M190&lt;=20,"R5 Harden","R6 Launch")))))</f>
        <v>R3 Revenue &amp; Messaging</v>
      </c>
      <c r="O190" s="16" t="n">
        <f aca="false">L190*README!$B$32</f>
        <v>4.8</v>
      </c>
      <c r="P190" s="11" t="s">
        <v>1121</v>
      </c>
      <c r="Q190" s="11" t="s">
        <v>1134</v>
      </c>
      <c r="R190" s="11" t="s">
        <v>103</v>
      </c>
      <c r="S190" s="11"/>
    </row>
    <row r="191" customFormat="false" ht="23.85" hidden="false" customHeight="false" outlineLevel="0" collapsed="false">
      <c r="A191" s="17" t="s">
        <v>1135</v>
      </c>
      <c r="B191" s="17" t="s">
        <v>1122</v>
      </c>
      <c r="C191" s="17" t="s">
        <v>1123</v>
      </c>
      <c r="D191" s="17" t="s">
        <v>1136</v>
      </c>
      <c r="E191" s="17" t="s">
        <v>1137</v>
      </c>
      <c r="F191" s="17" t="s">
        <v>1138</v>
      </c>
      <c r="G191" s="17" t="s">
        <v>142</v>
      </c>
      <c r="H191" s="17" t="s">
        <v>310</v>
      </c>
      <c r="I191" s="17" t="s">
        <v>1012</v>
      </c>
      <c r="J191" s="18" t="s">
        <v>100</v>
      </c>
      <c r="K191" s="18" t="s">
        <v>101</v>
      </c>
      <c r="L191" s="18" t="n">
        <v>8</v>
      </c>
      <c r="M191" s="18" t="n">
        <v>10</v>
      </c>
      <c r="N191" s="17" t="str">
        <f aca="false">IF(M191&lt;=4,"R1 Foundation",IF(M191&lt;=8,"R2 Core Clinic",IF(M191&lt;=13,"R3 Revenue &amp; Messaging",IF(M191&lt;=18,"R4 Patient &amp; Platform",IF(M191&lt;=20,"R5 Harden","R6 Launch")))))</f>
        <v>R3 Revenue &amp; Messaging</v>
      </c>
      <c r="O191" s="19" t="n">
        <f aca="false">L191*README!$B$32</f>
        <v>4.8</v>
      </c>
      <c r="P191" s="17" t="s">
        <v>1121</v>
      </c>
      <c r="Q191" s="17" t="s">
        <v>1139</v>
      </c>
      <c r="R191" s="17" t="s">
        <v>103</v>
      </c>
      <c r="S191" s="17"/>
    </row>
    <row r="192" customFormat="false" ht="23.85" hidden="false" customHeight="false" outlineLevel="0" collapsed="false">
      <c r="A192" s="11" t="s">
        <v>1140</v>
      </c>
      <c r="B192" s="11" t="s">
        <v>1122</v>
      </c>
      <c r="C192" s="11" t="s">
        <v>1123</v>
      </c>
      <c r="D192" s="11" t="s">
        <v>1141</v>
      </c>
      <c r="E192" s="11" t="s">
        <v>1142</v>
      </c>
      <c r="F192" s="11" t="s">
        <v>1143</v>
      </c>
      <c r="G192" s="11" t="s">
        <v>485</v>
      </c>
      <c r="H192" s="11" t="s">
        <v>310</v>
      </c>
      <c r="I192" s="11" t="s">
        <v>292</v>
      </c>
      <c r="J192" s="15" t="s">
        <v>100</v>
      </c>
      <c r="K192" s="15" t="s">
        <v>101</v>
      </c>
      <c r="L192" s="15" t="n">
        <v>5</v>
      </c>
      <c r="M192" s="15" t="n">
        <v>10</v>
      </c>
      <c r="N192" s="11" t="str">
        <f aca="false">IF(M192&lt;=4,"R1 Foundation",IF(M192&lt;=8,"R2 Core Clinic",IF(M192&lt;=13,"R3 Revenue &amp; Messaging",IF(M192&lt;=18,"R4 Patient &amp; Platform",IF(M192&lt;=20,"R5 Harden","R6 Launch")))))</f>
        <v>R3 Revenue &amp; Messaging</v>
      </c>
      <c r="O192" s="16" t="n">
        <f aca="false">L192*README!$B$32</f>
        <v>3</v>
      </c>
      <c r="P192" s="11" t="s">
        <v>1144</v>
      </c>
      <c r="Q192" s="11" t="s">
        <v>1145</v>
      </c>
      <c r="R192" s="11" t="s">
        <v>103</v>
      </c>
      <c r="S192" s="11"/>
    </row>
    <row r="193" customFormat="false" ht="35.05" hidden="false" customHeight="false" outlineLevel="0" collapsed="false">
      <c r="A193" s="17" t="s">
        <v>1146</v>
      </c>
      <c r="B193" s="17" t="s">
        <v>1122</v>
      </c>
      <c r="C193" s="17" t="s">
        <v>1123</v>
      </c>
      <c r="D193" s="17" t="s">
        <v>1147</v>
      </c>
      <c r="E193" s="17" t="s">
        <v>1148</v>
      </c>
      <c r="F193" s="17"/>
      <c r="G193" s="17" t="s">
        <v>379</v>
      </c>
      <c r="H193" s="17" t="s">
        <v>310</v>
      </c>
      <c r="I193" s="17" t="s">
        <v>292</v>
      </c>
      <c r="J193" s="18" t="s">
        <v>100</v>
      </c>
      <c r="K193" s="18" t="s">
        <v>101</v>
      </c>
      <c r="L193" s="18" t="n">
        <v>5</v>
      </c>
      <c r="M193" s="18" t="n">
        <v>11</v>
      </c>
      <c r="N193" s="17" t="str">
        <f aca="false">IF(M193&lt;=4,"R1 Foundation",IF(M193&lt;=8,"R2 Core Clinic",IF(M193&lt;=13,"R3 Revenue &amp; Messaging",IF(M193&lt;=18,"R4 Patient &amp; Platform",IF(M193&lt;=20,"R5 Harden","R6 Launch")))))</f>
        <v>R3 Revenue &amp; Messaging</v>
      </c>
      <c r="O193" s="19" t="n">
        <f aca="false">L193*README!$B$32</f>
        <v>3</v>
      </c>
      <c r="P193" s="17" t="s">
        <v>1149</v>
      </c>
      <c r="Q193" s="17" t="s">
        <v>1150</v>
      </c>
      <c r="R193" s="17" t="s">
        <v>103</v>
      </c>
      <c r="S193" s="17"/>
    </row>
    <row r="194" customFormat="false" ht="23.85" hidden="false" customHeight="false" outlineLevel="0" collapsed="false">
      <c r="A194" s="11" t="s">
        <v>1151</v>
      </c>
      <c r="B194" s="11" t="s">
        <v>1122</v>
      </c>
      <c r="C194" s="11" t="s">
        <v>1123</v>
      </c>
      <c r="D194" s="11" t="s">
        <v>1152</v>
      </c>
      <c r="E194" s="11" t="s">
        <v>1153</v>
      </c>
      <c r="F194" s="11" t="s">
        <v>1154</v>
      </c>
      <c r="G194" s="11" t="s">
        <v>1155</v>
      </c>
      <c r="H194" s="11" t="s">
        <v>310</v>
      </c>
      <c r="I194" s="11" t="s">
        <v>1012</v>
      </c>
      <c r="J194" s="15" t="s">
        <v>100</v>
      </c>
      <c r="K194" s="15" t="s">
        <v>101</v>
      </c>
      <c r="L194" s="15" t="n">
        <v>8</v>
      </c>
      <c r="M194" s="15" t="n">
        <v>11</v>
      </c>
      <c r="N194" s="11" t="str">
        <f aca="false">IF(M194&lt;=4,"R1 Foundation",IF(M194&lt;=8,"R2 Core Clinic",IF(M194&lt;=13,"R3 Revenue &amp; Messaging",IF(M194&lt;=18,"R4 Patient &amp; Platform",IF(M194&lt;=20,"R5 Harden","R6 Launch")))))</f>
        <v>R3 Revenue &amp; Messaging</v>
      </c>
      <c r="O194" s="16" t="n">
        <f aca="false">L194*README!$B$32</f>
        <v>4.8</v>
      </c>
      <c r="P194" s="11" t="s">
        <v>1156</v>
      </c>
      <c r="Q194" s="11" t="s">
        <v>1157</v>
      </c>
      <c r="R194" s="11" t="s">
        <v>103</v>
      </c>
      <c r="S194" s="11"/>
    </row>
    <row r="195" customFormat="false" ht="23.85" hidden="false" customHeight="false" outlineLevel="0" collapsed="false">
      <c r="A195" s="17" t="s">
        <v>1158</v>
      </c>
      <c r="B195" s="17" t="s">
        <v>1122</v>
      </c>
      <c r="C195" s="17" t="s">
        <v>1123</v>
      </c>
      <c r="D195" s="17" t="s">
        <v>1159</v>
      </c>
      <c r="E195" s="17" t="s">
        <v>1160</v>
      </c>
      <c r="F195" s="17" t="s">
        <v>1143</v>
      </c>
      <c r="G195" s="17" t="s">
        <v>142</v>
      </c>
      <c r="H195" s="17" t="s">
        <v>310</v>
      </c>
      <c r="I195" s="17" t="s">
        <v>1012</v>
      </c>
      <c r="J195" s="18" t="s">
        <v>100</v>
      </c>
      <c r="K195" s="18" t="s">
        <v>101</v>
      </c>
      <c r="L195" s="18" t="n">
        <v>8</v>
      </c>
      <c r="M195" s="18" t="n">
        <v>13</v>
      </c>
      <c r="N195" s="17" t="str">
        <f aca="false">IF(M195&lt;=4,"R1 Foundation",IF(M195&lt;=8,"R2 Core Clinic",IF(M195&lt;=13,"R3 Revenue &amp; Messaging",IF(M195&lt;=18,"R4 Patient &amp; Platform",IF(M195&lt;=20,"R5 Harden","R6 Launch")))))</f>
        <v>R3 Revenue &amp; Messaging</v>
      </c>
      <c r="O195" s="19" t="n">
        <f aca="false">L195*README!$B$32</f>
        <v>4.8</v>
      </c>
      <c r="P195" s="17" t="s">
        <v>1135</v>
      </c>
      <c r="Q195" s="17" t="s">
        <v>1161</v>
      </c>
      <c r="R195" s="17" t="s">
        <v>103</v>
      </c>
      <c r="S195" s="17"/>
    </row>
    <row r="196" customFormat="false" ht="23.85" hidden="false" customHeight="false" outlineLevel="0" collapsed="false">
      <c r="A196" s="11" t="s">
        <v>1162</v>
      </c>
      <c r="B196" s="11" t="s">
        <v>1122</v>
      </c>
      <c r="C196" s="11" t="s">
        <v>1123</v>
      </c>
      <c r="D196" s="11" t="s">
        <v>1163</v>
      </c>
      <c r="E196" s="11" t="s">
        <v>1164</v>
      </c>
      <c r="F196" s="11" t="s">
        <v>1165</v>
      </c>
      <c r="G196" s="11" t="s">
        <v>309</v>
      </c>
      <c r="H196" s="11" t="s">
        <v>310</v>
      </c>
      <c r="I196" s="11" t="s">
        <v>114</v>
      </c>
      <c r="J196" s="15" t="s">
        <v>100</v>
      </c>
      <c r="K196" s="15" t="s">
        <v>101</v>
      </c>
      <c r="L196" s="15" t="n">
        <v>5</v>
      </c>
      <c r="M196" s="15" t="n">
        <v>12</v>
      </c>
      <c r="N196" s="11" t="str">
        <f aca="false">IF(M196&lt;=4,"R1 Foundation",IF(M196&lt;=8,"R2 Core Clinic",IF(M196&lt;=13,"R3 Revenue &amp; Messaging",IF(M196&lt;=18,"R4 Patient &amp; Platform",IF(M196&lt;=20,"R5 Harden","R6 Launch")))))</f>
        <v>R3 Revenue &amp; Messaging</v>
      </c>
      <c r="O196" s="16" t="n">
        <f aca="false">L196*README!$B$32</f>
        <v>3</v>
      </c>
      <c r="P196" s="11" t="s">
        <v>1151</v>
      </c>
      <c r="Q196" s="11" t="s">
        <v>1166</v>
      </c>
      <c r="R196" s="11" t="s">
        <v>103</v>
      </c>
      <c r="S196" s="11"/>
    </row>
    <row r="197" customFormat="false" ht="23.85" hidden="false" customHeight="false" outlineLevel="0" collapsed="false">
      <c r="A197" s="17" t="s">
        <v>1167</v>
      </c>
      <c r="B197" s="17" t="s">
        <v>1122</v>
      </c>
      <c r="C197" s="17" t="s">
        <v>1123</v>
      </c>
      <c r="D197" s="17" t="s">
        <v>1168</v>
      </c>
      <c r="E197" s="17" t="s">
        <v>1169</v>
      </c>
      <c r="F197" s="17" t="s">
        <v>1170</v>
      </c>
      <c r="G197" s="17" t="s">
        <v>98</v>
      </c>
      <c r="H197" s="17" t="s">
        <v>99</v>
      </c>
      <c r="I197" s="17" t="s">
        <v>114</v>
      </c>
      <c r="J197" s="18" t="s">
        <v>100</v>
      </c>
      <c r="K197" s="18" t="s">
        <v>101</v>
      </c>
      <c r="L197" s="18" t="n">
        <v>8</v>
      </c>
      <c r="M197" s="18" t="n">
        <v>11</v>
      </c>
      <c r="N197" s="17" t="str">
        <f aca="false">IF(M197&lt;=4,"R1 Foundation",IF(M197&lt;=8,"R2 Core Clinic",IF(M197&lt;=13,"R3 Revenue &amp; Messaging",IF(M197&lt;=18,"R4 Patient &amp; Platform",IF(M197&lt;=20,"R5 Harden","R6 Launch")))))</f>
        <v>R3 Revenue &amp; Messaging</v>
      </c>
      <c r="O197" s="19" t="n">
        <f aca="false">L197*README!$B$32</f>
        <v>4.8</v>
      </c>
      <c r="P197" s="17" t="s">
        <v>1171</v>
      </c>
      <c r="Q197" s="17" t="s">
        <v>1172</v>
      </c>
      <c r="R197" s="17" t="s">
        <v>103</v>
      </c>
      <c r="S197" s="17"/>
    </row>
    <row r="198" customFormat="false" ht="23.85" hidden="false" customHeight="false" outlineLevel="0" collapsed="false">
      <c r="A198" s="11" t="s">
        <v>891</v>
      </c>
      <c r="B198" s="11" t="s">
        <v>1122</v>
      </c>
      <c r="C198" s="11" t="s">
        <v>1123</v>
      </c>
      <c r="D198" s="11" t="s">
        <v>1173</v>
      </c>
      <c r="E198" s="11" t="s">
        <v>1174</v>
      </c>
      <c r="F198" s="11" t="s">
        <v>1175</v>
      </c>
      <c r="G198" s="11" t="s">
        <v>485</v>
      </c>
      <c r="H198" s="11" t="s">
        <v>291</v>
      </c>
      <c r="I198" s="11" t="s">
        <v>292</v>
      </c>
      <c r="J198" s="15" t="s">
        <v>100</v>
      </c>
      <c r="K198" s="15" t="s">
        <v>101</v>
      </c>
      <c r="L198" s="15" t="n">
        <v>13</v>
      </c>
      <c r="M198" s="15" t="n">
        <v>13</v>
      </c>
      <c r="N198" s="11" t="str">
        <f aca="false">IF(M198&lt;=4,"R1 Foundation",IF(M198&lt;=8,"R2 Core Clinic",IF(M198&lt;=13,"R3 Revenue &amp; Messaging",IF(M198&lt;=18,"R4 Patient &amp; Platform",IF(M198&lt;=20,"R5 Harden","R6 Launch")))))</f>
        <v>R3 Revenue &amp; Messaging</v>
      </c>
      <c r="O198" s="16" t="n">
        <f aca="false">L198*README!$B$32</f>
        <v>7.8</v>
      </c>
      <c r="P198" s="11" t="s">
        <v>1176</v>
      </c>
      <c r="Q198" s="11" t="s">
        <v>1177</v>
      </c>
      <c r="R198" s="11" t="s">
        <v>103</v>
      </c>
      <c r="S198" s="11"/>
    </row>
    <row r="199" customFormat="false" ht="23.85" hidden="false" customHeight="false" outlineLevel="0" collapsed="false">
      <c r="A199" s="17" t="s">
        <v>1178</v>
      </c>
      <c r="B199" s="17" t="s">
        <v>1122</v>
      </c>
      <c r="C199" s="17" t="s">
        <v>1123</v>
      </c>
      <c r="D199" s="17" t="s">
        <v>1179</v>
      </c>
      <c r="E199" s="17" t="s">
        <v>1180</v>
      </c>
      <c r="F199" s="17" t="s">
        <v>1181</v>
      </c>
      <c r="G199" s="17" t="s">
        <v>310</v>
      </c>
      <c r="H199" s="17" t="s">
        <v>310</v>
      </c>
      <c r="I199" s="17" t="s">
        <v>292</v>
      </c>
      <c r="J199" s="18" t="s">
        <v>100</v>
      </c>
      <c r="K199" s="18" t="s">
        <v>101</v>
      </c>
      <c r="L199" s="18" t="n">
        <v>5</v>
      </c>
      <c r="M199" s="18" t="n">
        <v>12</v>
      </c>
      <c r="N199" s="17" t="str">
        <f aca="false">IF(M199&lt;=4,"R1 Foundation",IF(M199&lt;=8,"R2 Core Clinic",IF(M199&lt;=13,"R3 Revenue &amp; Messaging",IF(M199&lt;=18,"R4 Patient &amp; Platform",IF(M199&lt;=20,"R5 Harden","R6 Launch")))))</f>
        <v>R3 Revenue &amp; Messaging</v>
      </c>
      <c r="O199" s="19" t="n">
        <f aca="false">L199*README!$B$32</f>
        <v>3</v>
      </c>
      <c r="P199" s="17" t="s">
        <v>1121</v>
      </c>
      <c r="Q199" s="17" t="s">
        <v>1182</v>
      </c>
      <c r="R199" s="17" t="s">
        <v>103</v>
      </c>
      <c r="S199" s="17"/>
    </row>
    <row r="200" customFormat="false" ht="23.85" hidden="false" customHeight="false" outlineLevel="0" collapsed="false">
      <c r="A200" s="11" t="s">
        <v>1183</v>
      </c>
      <c r="B200" s="11" t="s">
        <v>1122</v>
      </c>
      <c r="C200" s="11" t="s">
        <v>1123</v>
      </c>
      <c r="D200" s="11" t="s">
        <v>1184</v>
      </c>
      <c r="E200" s="11" t="s">
        <v>1185</v>
      </c>
      <c r="F200" s="11" t="s">
        <v>1186</v>
      </c>
      <c r="G200" s="11" t="s">
        <v>233</v>
      </c>
      <c r="H200" s="11" t="s">
        <v>310</v>
      </c>
      <c r="I200" s="11" t="s">
        <v>114</v>
      </c>
      <c r="J200" s="15" t="s">
        <v>100</v>
      </c>
      <c r="K200" s="15" t="s">
        <v>101</v>
      </c>
      <c r="L200" s="15" t="n">
        <v>5</v>
      </c>
      <c r="M200" s="15" t="n">
        <v>14</v>
      </c>
      <c r="N200" s="11" t="str">
        <f aca="false">IF(M200&lt;=4,"R1 Foundation",IF(M200&lt;=8,"R2 Core Clinic",IF(M200&lt;=13,"R3 Revenue &amp; Messaging",IF(M200&lt;=18,"R4 Patient &amp; Platform",IF(M200&lt;=20,"R5 Harden","R6 Launch")))))</f>
        <v>R4 Patient &amp; Platform</v>
      </c>
      <c r="O200" s="16" t="n">
        <f aca="false">L200*README!$B$32</f>
        <v>3</v>
      </c>
      <c r="P200" s="11" t="s">
        <v>1167</v>
      </c>
      <c r="Q200" s="11" t="s">
        <v>1187</v>
      </c>
      <c r="R200" s="11" t="s">
        <v>103</v>
      </c>
      <c r="S200" s="11"/>
    </row>
    <row r="201" customFormat="false" ht="35.05" hidden="false" customHeight="false" outlineLevel="0" collapsed="false">
      <c r="A201" s="17" t="s">
        <v>1188</v>
      </c>
      <c r="B201" s="17" t="s">
        <v>1122</v>
      </c>
      <c r="C201" s="17" t="s">
        <v>1123</v>
      </c>
      <c r="D201" s="17" t="s">
        <v>1189</v>
      </c>
      <c r="E201" s="17" t="s">
        <v>1190</v>
      </c>
      <c r="F201" s="17" t="s">
        <v>129</v>
      </c>
      <c r="G201" s="17" t="s">
        <v>107</v>
      </c>
      <c r="H201" s="17" t="s">
        <v>310</v>
      </c>
      <c r="I201" s="17" t="s">
        <v>114</v>
      </c>
      <c r="J201" s="18" t="s">
        <v>100</v>
      </c>
      <c r="K201" s="18" t="s">
        <v>101</v>
      </c>
      <c r="L201" s="18" t="n">
        <v>8</v>
      </c>
      <c r="M201" s="18" t="n">
        <v>16</v>
      </c>
      <c r="N201" s="17" t="str">
        <f aca="false">IF(M201&lt;=4,"R1 Foundation",IF(M201&lt;=8,"R2 Core Clinic",IF(M201&lt;=13,"R3 Revenue &amp; Messaging",IF(M201&lt;=18,"R4 Patient &amp; Platform",IF(M201&lt;=20,"R5 Harden","R6 Launch")))))</f>
        <v>R4 Patient &amp; Platform</v>
      </c>
      <c r="O201" s="19" t="n">
        <f aca="false">L201*README!$B$32</f>
        <v>4.8</v>
      </c>
      <c r="P201" s="17" t="s">
        <v>1151</v>
      </c>
      <c r="Q201" s="17" t="s">
        <v>1191</v>
      </c>
      <c r="R201" s="17" t="s">
        <v>103</v>
      </c>
      <c r="S201" s="17"/>
    </row>
    <row r="202" customFormat="false" ht="23.85" hidden="false" customHeight="false" outlineLevel="0" collapsed="false">
      <c r="A202" s="11" t="s">
        <v>1192</v>
      </c>
      <c r="B202" s="11" t="s">
        <v>1193</v>
      </c>
      <c r="C202" s="11" t="s">
        <v>310</v>
      </c>
      <c r="D202" s="11" t="s">
        <v>1194</v>
      </c>
      <c r="E202" s="11" t="s">
        <v>1195</v>
      </c>
      <c r="F202" s="11" t="s">
        <v>484</v>
      </c>
      <c r="G202" s="11" t="s">
        <v>310</v>
      </c>
      <c r="H202" s="11" t="s">
        <v>310</v>
      </c>
      <c r="I202" s="11" t="s">
        <v>292</v>
      </c>
      <c r="J202" s="15" t="s">
        <v>100</v>
      </c>
      <c r="K202" s="15" t="s">
        <v>101</v>
      </c>
      <c r="L202" s="15" t="n">
        <v>8</v>
      </c>
      <c r="M202" s="15" t="n">
        <v>13</v>
      </c>
      <c r="N202" s="11" t="str">
        <f aca="false">IF(M202&lt;=4,"R1 Foundation",IF(M202&lt;=8,"R2 Core Clinic",IF(M202&lt;=13,"R3 Revenue &amp; Messaging",IF(M202&lt;=18,"R4 Patient &amp; Platform",IF(M202&lt;=20,"R5 Harden","R6 Launch")))))</f>
        <v>R3 Revenue &amp; Messaging</v>
      </c>
      <c r="O202" s="16" t="n">
        <f aca="false">L202*README!$B$32</f>
        <v>4.8</v>
      </c>
      <c r="P202" s="11" t="s">
        <v>1196</v>
      </c>
      <c r="Q202" s="11" t="s">
        <v>1197</v>
      </c>
      <c r="R202" s="11" t="s">
        <v>103</v>
      </c>
      <c r="S202" s="11"/>
    </row>
    <row r="203" customFormat="false" ht="23.85" hidden="false" customHeight="false" outlineLevel="0" collapsed="false">
      <c r="A203" s="17" t="s">
        <v>1198</v>
      </c>
      <c r="B203" s="17" t="s">
        <v>1193</v>
      </c>
      <c r="C203" s="17" t="s">
        <v>310</v>
      </c>
      <c r="D203" s="17" t="s">
        <v>1199</v>
      </c>
      <c r="E203" s="17" t="s">
        <v>1200</v>
      </c>
      <c r="F203" s="17" t="s">
        <v>1201</v>
      </c>
      <c r="G203" s="17" t="s">
        <v>310</v>
      </c>
      <c r="H203" s="17" t="s">
        <v>310</v>
      </c>
      <c r="I203" s="17" t="s">
        <v>292</v>
      </c>
      <c r="J203" s="18" t="s">
        <v>100</v>
      </c>
      <c r="K203" s="18" t="s">
        <v>101</v>
      </c>
      <c r="L203" s="18" t="n">
        <v>13</v>
      </c>
      <c r="M203" s="18" t="n">
        <v>14</v>
      </c>
      <c r="N203" s="17" t="str">
        <f aca="false">IF(M203&lt;=4,"R1 Foundation",IF(M203&lt;=8,"R2 Core Clinic",IF(M203&lt;=13,"R3 Revenue &amp; Messaging",IF(M203&lt;=18,"R4 Patient &amp; Platform",IF(M203&lt;=20,"R5 Harden","R6 Launch")))))</f>
        <v>R4 Patient &amp; Platform</v>
      </c>
      <c r="O203" s="19" t="n">
        <f aca="false">L203*README!$B$32</f>
        <v>7.8</v>
      </c>
      <c r="P203" s="17" t="s">
        <v>1202</v>
      </c>
      <c r="Q203" s="17" t="s">
        <v>1203</v>
      </c>
      <c r="R203" s="17" t="s">
        <v>103</v>
      </c>
      <c r="S203" s="17"/>
    </row>
    <row r="204" customFormat="false" ht="23.85" hidden="false" customHeight="false" outlineLevel="0" collapsed="false">
      <c r="A204" s="11" t="s">
        <v>1204</v>
      </c>
      <c r="B204" s="11" t="s">
        <v>1193</v>
      </c>
      <c r="C204" s="11" t="s">
        <v>310</v>
      </c>
      <c r="D204" s="11" t="s">
        <v>1205</v>
      </c>
      <c r="E204" s="11" t="s">
        <v>1206</v>
      </c>
      <c r="F204" s="11" t="s">
        <v>1207</v>
      </c>
      <c r="G204" s="11" t="s">
        <v>310</v>
      </c>
      <c r="H204" s="11" t="s">
        <v>310</v>
      </c>
      <c r="I204" s="11" t="s">
        <v>292</v>
      </c>
      <c r="J204" s="15" t="s">
        <v>100</v>
      </c>
      <c r="K204" s="15" t="s">
        <v>101</v>
      </c>
      <c r="L204" s="15" t="n">
        <v>8</v>
      </c>
      <c r="M204" s="15" t="n">
        <v>14</v>
      </c>
      <c r="N204" s="11" t="str">
        <f aca="false">IF(M204&lt;=4,"R1 Foundation",IF(M204&lt;=8,"R2 Core Clinic",IF(M204&lt;=13,"R3 Revenue &amp; Messaging",IF(M204&lt;=18,"R4 Patient &amp; Platform",IF(M204&lt;=20,"R5 Harden","R6 Launch")))))</f>
        <v>R4 Patient &amp; Platform</v>
      </c>
      <c r="O204" s="16" t="n">
        <f aca="false">L204*README!$B$32</f>
        <v>4.8</v>
      </c>
      <c r="P204" s="11" t="s">
        <v>1208</v>
      </c>
      <c r="Q204" s="11" t="s">
        <v>1209</v>
      </c>
      <c r="R204" s="11" t="s">
        <v>103</v>
      </c>
      <c r="S204" s="11"/>
    </row>
    <row r="205" customFormat="false" ht="23.85" hidden="false" customHeight="false" outlineLevel="0" collapsed="false">
      <c r="A205" s="17" t="s">
        <v>1210</v>
      </c>
      <c r="B205" s="17" t="s">
        <v>1193</v>
      </c>
      <c r="C205" s="17" t="s">
        <v>310</v>
      </c>
      <c r="D205" s="17" t="s">
        <v>1211</v>
      </c>
      <c r="E205" s="17" t="s">
        <v>1212</v>
      </c>
      <c r="F205" s="17" t="s">
        <v>649</v>
      </c>
      <c r="G205" s="17" t="s">
        <v>310</v>
      </c>
      <c r="H205" s="17" t="s">
        <v>310</v>
      </c>
      <c r="I205" s="17" t="s">
        <v>292</v>
      </c>
      <c r="J205" s="18" t="s">
        <v>100</v>
      </c>
      <c r="K205" s="18" t="s">
        <v>101</v>
      </c>
      <c r="L205" s="18" t="n">
        <v>8</v>
      </c>
      <c r="M205" s="18" t="n">
        <v>15</v>
      </c>
      <c r="N205" s="17" t="str">
        <f aca="false">IF(M205&lt;=4,"R1 Foundation",IF(M205&lt;=8,"R2 Core Clinic",IF(M205&lt;=13,"R3 Revenue &amp; Messaging",IF(M205&lt;=18,"R4 Patient &amp; Platform",IF(M205&lt;=20,"R5 Harden","R6 Launch")))))</f>
        <v>R4 Patient &amp; Platform</v>
      </c>
      <c r="O205" s="19" t="n">
        <f aca="false">L205*README!$B$32</f>
        <v>4.8</v>
      </c>
      <c r="P205" s="17" t="s">
        <v>1213</v>
      </c>
      <c r="Q205" s="17" t="s">
        <v>1214</v>
      </c>
      <c r="R205" s="17" t="s">
        <v>103</v>
      </c>
      <c r="S205" s="17"/>
    </row>
    <row r="206" customFormat="false" ht="23.85" hidden="false" customHeight="false" outlineLevel="0" collapsed="false">
      <c r="A206" s="11" t="s">
        <v>1215</v>
      </c>
      <c r="B206" s="11" t="s">
        <v>1193</v>
      </c>
      <c r="C206" s="11" t="s">
        <v>310</v>
      </c>
      <c r="D206" s="11" t="s">
        <v>1216</v>
      </c>
      <c r="E206" s="11" t="s">
        <v>1217</v>
      </c>
      <c r="F206" s="11" t="s">
        <v>1218</v>
      </c>
      <c r="G206" s="11" t="s">
        <v>310</v>
      </c>
      <c r="H206" s="11" t="s">
        <v>310</v>
      </c>
      <c r="I206" s="11" t="s">
        <v>292</v>
      </c>
      <c r="J206" s="15" t="s">
        <v>100</v>
      </c>
      <c r="K206" s="15" t="s">
        <v>101</v>
      </c>
      <c r="L206" s="15" t="n">
        <v>5</v>
      </c>
      <c r="M206" s="15" t="n">
        <v>15</v>
      </c>
      <c r="N206" s="11" t="str">
        <f aca="false">IF(M206&lt;=4,"R1 Foundation",IF(M206&lt;=8,"R2 Core Clinic",IF(M206&lt;=13,"R3 Revenue &amp; Messaging",IF(M206&lt;=18,"R4 Patient &amp; Platform",IF(M206&lt;=20,"R5 Harden","R6 Launch")))))</f>
        <v>R4 Patient &amp; Platform</v>
      </c>
      <c r="O206" s="16" t="n">
        <f aca="false">L206*README!$B$32</f>
        <v>3</v>
      </c>
      <c r="P206" s="11" t="s">
        <v>1219</v>
      </c>
      <c r="Q206" s="11" t="s">
        <v>1220</v>
      </c>
      <c r="R206" s="11" t="s">
        <v>103</v>
      </c>
      <c r="S206" s="11"/>
    </row>
    <row r="207" customFormat="false" ht="23.85" hidden="false" customHeight="false" outlineLevel="0" collapsed="false">
      <c r="A207" s="17" t="s">
        <v>1221</v>
      </c>
      <c r="B207" s="17" t="s">
        <v>1193</v>
      </c>
      <c r="C207" s="17" t="s">
        <v>310</v>
      </c>
      <c r="D207" s="17" t="s">
        <v>1222</v>
      </c>
      <c r="E207" s="17" t="s">
        <v>1223</v>
      </c>
      <c r="F207" s="17" t="s">
        <v>1224</v>
      </c>
      <c r="G207" s="17" t="s">
        <v>310</v>
      </c>
      <c r="H207" s="17" t="s">
        <v>310</v>
      </c>
      <c r="I207" s="17" t="s">
        <v>292</v>
      </c>
      <c r="J207" s="18" t="s">
        <v>100</v>
      </c>
      <c r="K207" s="18" t="s">
        <v>101</v>
      </c>
      <c r="L207" s="18" t="n">
        <v>5</v>
      </c>
      <c r="M207" s="18" t="n">
        <v>15</v>
      </c>
      <c r="N207" s="17" t="str">
        <f aca="false">IF(M207&lt;=4,"R1 Foundation",IF(M207&lt;=8,"R2 Core Clinic",IF(M207&lt;=13,"R3 Revenue &amp; Messaging",IF(M207&lt;=18,"R4 Patient &amp; Platform",IF(M207&lt;=20,"R5 Harden","R6 Launch")))))</f>
        <v>R4 Patient &amp; Platform</v>
      </c>
      <c r="O207" s="19" t="n">
        <f aca="false">L207*README!$B$32</f>
        <v>3</v>
      </c>
      <c r="P207" s="17" t="s">
        <v>1198</v>
      </c>
      <c r="Q207" s="17" t="s">
        <v>1225</v>
      </c>
      <c r="R207" s="17" t="s">
        <v>103</v>
      </c>
      <c r="S207" s="17"/>
    </row>
    <row r="208" customFormat="false" ht="23.85" hidden="false" customHeight="false" outlineLevel="0" collapsed="false">
      <c r="A208" s="11" t="s">
        <v>1226</v>
      </c>
      <c r="B208" s="11" t="s">
        <v>1193</v>
      </c>
      <c r="C208" s="11" t="s">
        <v>310</v>
      </c>
      <c r="D208" s="11" t="s">
        <v>1227</v>
      </c>
      <c r="E208" s="11" t="s">
        <v>1228</v>
      </c>
      <c r="F208" s="11" t="s">
        <v>1229</v>
      </c>
      <c r="G208" s="11" t="s">
        <v>310</v>
      </c>
      <c r="H208" s="11" t="s">
        <v>310</v>
      </c>
      <c r="I208" s="11" t="s">
        <v>292</v>
      </c>
      <c r="J208" s="15" t="s">
        <v>100</v>
      </c>
      <c r="K208" s="15" t="s">
        <v>101</v>
      </c>
      <c r="L208" s="15" t="n">
        <v>5</v>
      </c>
      <c r="M208" s="15" t="n">
        <v>16</v>
      </c>
      <c r="N208" s="11" t="str">
        <f aca="false">IF(M208&lt;=4,"R1 Foundation",IF(M208&lt;=8,"R2 Core Clinic",IF(M208&lt;=13,"R3 Revenue &amp; Messaging",IF(M208&lt;=18,"R4 Patient &amp; Platform",IF(M208&lt;=20,"R5 Harden","R6 Launch")))))</f>
        <v>R4 Patient &amp; Platform</v>
      </c>
      <c r="O208" s="16" t="n">
        <f aca="false">L208*README!$B$32</f>
        <v>3</v>
      </c>
      <c r="P208" s="11" t="s">
        <v>1230</v>
      </c>
      <c r="Q208" s="11" t="s">
        <v>1231</v>
      </c>
      <c r="R208" s="11" t="s">
        <v>103</v>
      </c>
      <c r="S208" s="11"/>
    </row>
    <row r="209" customFormat="false" ht="23.85" hidden="false" customHeight="false" outlineLevel="0" collapsed="false">
      <c r="A209" s="17" t="s">
        <v>1232</v>
      </c>
      <c r="B209" s="17" t="s">
        <v>1193</v>
      </c>
      <c r="C209" s="17" t="s">
        <v>310</v>
      </c>
      <c r="D209" s="17" t="s">
        <v>1233</v>
      </c>
      <c r="E209" s="17" t="s">
        <v>1234</v>
      </c>
      <c r="F209" s="17" t="s">
        <v>1235</v>
      </c>
      <c r="G209" s="17" t="s">
        <v>310</v>
      </c>
      <c r="H209" s="17" t="s">
        <v>310</v>
      </c>
      <c r="I209" s="17" t="s">
        <v>292</v>
      </c>
      <c r="J209" s="18" t="s">
        <v>130</v>
      </c>
      <c r="K209" s="18" t="s">
        <v>101</v>
      </c>
      <c r="L209" s="18" t="n">
        <v>5</v>
      </c>
      <c r="M209" s="18" t="n">
        <v>16</v>
      </c>
      <c r="N209" s="17" t="str">
        <f aca="false">IF(M209&lt;=4,"R1 Foundation",IF(M209&lt;=8,"R2 Core Clinic",IF(M209&lt;=13,"R3 Revenue &amp; Messaging",IF(M209&lt;=18,"R4 Patient &amp; Platform",IF(M209&lt;=20,"R5 Harden","R6 Launch")))))</f>
        <v>R4 Patient &amp; Platform</v>
      </c>
      <c r="O209" s="19" t="n">
        <f aca="false">L209*README!$B$32</f>
        <v>3</v>
      </c>
      <c r="P209" s="17" t="s">
        <v>1236</v>
      </c>
      <c r="Q209" s="17" t="s">
        <v>1237</v>
      </c>
      <c r="R209" s="17" t="s">
        <v>103</v>
      </c>
      <c r="S209" s="17"/>
    </row>
    <row r="210" customFormat="false" ht="23.85" hidden="false" customHeight="false" outlineLevel="0" collapsed="false">
      <c r="A210" s="11" t="s">
        <v>1238</v>
      </c>
      <c r="B210" s="11" t="s">
        <v>1193</v>
      </c>
      <c r="C210" s="11" t="s">
        <v>310</v>
      </c>
      <c r="D210" s="11" t="s">
        <v>1239</v>
      </c>
      <c r="E210" s="11" t="s">
        <v>1240</v>
      </c>
      <c r="F210" s="11" t="s">
        <v>1241</v>
      </c>
      <c r="G210" s="11" t="s">
        <v>310</v>
      </c>
      <c r="H210" s="11" t="s">
        <v>310</v>
      </c>
      <c r="I210" s="11" t="s">
        <v>292</v>
      </c>
      <c r="J210" s="15" t="s">
        <v>100</v>
      </c>
      <c r="K210" s="15" t="s">
        <v>101</v>
      </c>
      <c r="L210" s="15" t="n">
        <v>8</v>
      </c>
      <c r="M210" s="15" t="n">
        <v>16</v>
      </c>
      <c r="N210" s="11" t="str">
        <f aca="false">IF(M210&lt;=4,"R1 Foundation",IF(M210&lt;=8,"R2 Core Clinic",IF(M210&lt;=13,"R3 Revenue &amp; Messaging",IF(M210&lt;=18,"R4 Patient &amp; Platform",IF(M210&lt;=20,"R5 Harden","R6 Launch")))))</f>
        <v>R4 Patient &amp; Platform</v>
      </c>
      <c r="O210" s="16" t="n">
        <f aca="false">L210*README!$B$32</f>
        <v>4.8</v>
      </c>
      <c r="P210" s="11" t="s">
        <v>1018</v>
      </c>
      <c r="Q210" s="11" t="s">
        <v>1242</v>
      </c>
      <c r="R210" s="11" t="s">
        <v>103</v>
      </c>
      <c r="S210" s="11"/>
    </row>
    <row r="211" customFormat="false" ht="23.85" hidden="false" customHeight="false" outlineLevel="0" collapsed="false">
      <c r="A211" s="17" t="s">
        <v>1243</v>
      </c>
      <c r="B211" s="17" t="s">
        <v>1193</v>
      </c>
      <c r="C211" s="17" t="s">
        <v>310</v>
      </c>
      <c r="D211" s="17" t="s">
        <v>1244</v>
      </c>
      <c r="E211" s="17" t="s">
        <v>1245</v>
      </c>
      <c r="F211" s="17" t="s">
        <v>1246</v>
      </c>
      <c r="G211" s="17" t="s">
        <v>310</v>
      </c>
      <c r="H211" s="17" t="s">
        <v>310</v>
      </c>
      <c r="I211" s="17" t="s">
        <v>292</v>
      </c>
      <c r="J211" s="18" t="s">
        <v>130</v>
      </c>
      <c r="K211" s="18" t="s">
        <v>211</v>
      </c>
      <c r="L211" s="18" t="n">
        <v>8</v>
      </c>
      <c r="M211" s="18" t="n">
        <v>18</v>
      </c>
      <c r="N211" s="17" t="str">
        <f aca="false">IF(M211&lt;=4,"R1 Foundation",IF(M211&lt;=8,"R2 Core Clinic",IF(M211&lt;=13,"R3 Revenue &amp; Messaging",IF(M211&lt;=18,"R4 Patient &amp; Platform",IF(M211&lt;=20,"R5 Harden","R6 Launch")))))</f>
        <v>R4 Patient &amp; Platform</v>
      </c>
      <c r="O211" s="19" t="n">
        <f aca="false">L211*README!$B$32</f>
        <v>4.8</v>
      </c>
      <c r="P211" s="17" t="s">
        <v>1247</v>
      </c>
      <c r="Q211" s="17" t="s">
        <v>1248</v>
      </c>
      <c r="R211" s="17" t="s">
        <v>103</v>
      </c>
      <c r="S211" s="17"/>
    </row>
    <row r="212" customFormat="false" ht="15" hidden="false" customHeight="false" outlineLevel="0" collapsed="false">
      <c r="A212" s="11" t="s">
        <v>1249</v>
      </c>
      <c r="B212" s="11" t="s">
        <v>1193</v>
      </c>
      <c r="C212" s="11" t="s">
        <v>310</v>
      </c>
      <c r="D212" s="11" t="s">
        <v>1250</v>
      </c>
      <c r="E212" s="11" t="s">
        <v>1251</v>
      </c>
      <c r="F212" s="11" t="s">
        <v>1252</v>
      </c>
      <c r="G212" s="11" t="s">
        <v>310</v>
      </c>
      <c r="H212" s="11" t="s">
        <v>310</v>
      </c>
      <c r="I212" s="11" t="s">
        <v>292</v>
      </c>
      <c r="J212" s="15" t="s">
        <v>130</v>
      </c>
      <c r="K212" s="15" t="s">
        <v>101</v>
      </c>
      <c r="L212" s="15" t="n">
        <v>5</v>
      </c>
      <c r="M212" s="15" t="n">
        <v>17</v>
      </c>
      <c r="N212" s="11" t="str">
        <f aca="false">IF(M212&lt;=4,"R1 Foundation",IF(M212&lt;=8,"R2 Core Clinic",IF(M212&lt;=13,"R3 Revenue &amp; Messaging",IF(M212&lt;=18,"R4 Patient &amp; Platform",IF(M212&lt;=20,"R5 Harden","R6 Launch")))))</f>
        <v>R4 Patient &amp; Platform</v>
      </c>
      <c r="O212" s="16" t="n">
        <f aca="false">L212*README!$B$32</f>
        <v>3</v>
      </c>
      <c r="P212" s="11" t="s">
        <v>1253</v>
      </c>
      <c r="Q212" s="11" t="s">
        <v>1254</v>
      </c>
      <c r="R212" s="11" t="s">
        <v>103</v>
      </c>
      <c r="S212" s="11"/>
    </row>
    <row r="213" customFormat="false" ht="23.85" hidden="false" customHeight="false" outlineLevel="0" collapsed="false">
      <c r="A213" s="17" t="s">
        <v>1255</v>
      </c>
      <c r="B213" s="17" t="s">
        <v>1193</v>
      </c>
      <c r="C213" s="17" t="s">
        <v>310</v>
      </c>
      <c r="D213" s="17" t="s">
        <v>1256</v>
      </c>
      <c r="E213" s="17" t="s">
        <v>1257</v>
      </c>
      <c r="F213" s="17" t="s">
        <v>1258</v>
      </c>
      <c r="G213" s="17" t="s">
        <v>310</v>
      </c>
      <c r="H213" s="17" t="s">
        <v>310</v>
      </c>
      <c r="I213" s="17" t="s">
        <v>292</v>
      </c>
      <c r="J213" s="18" t="s">
        <v>130</v>
      </c>
      <c r="K213" s="18" t="s">
        <v>101</v>
      </c>
      <c r="L213" s="18" t="n">
        <v>5</v>
      </c>
      <c r="M213" s="18" t="n">
        <v>17</v>
      </c>
      <c r="N213" s="17" t="str">
        <f aca="false">IF(M213&lt;=4,"R1 Foundation",IF(M213&lt;=8,"R2 Core Clinic",IF(M213&lt;=13,"R3 Revenue &amp; Messaging",IF(M213&lt;=18,"R4 Patient &amp; Platform",IF(M213&lt;=20,"R5 Harden","R6 Launch")))))</f>
        <v>R4 Patient &amp; Platform</v>
      </c>
      <c r="O213" s="19" t="n">
        <f aca="false">L213*README!$B$32</f>
        <v>3</v>
      </c>
      <c r="P213" s="17" t="s">
        <v>1259</v>
      </c>
      <c r="Q213" s="17" t="s">
        <v>1260</v>
      </c>
      <c r="R213" s="17" t="s">
        <v>103</v>
      </c>
      <c r="S213" s="17"/>
    </row>
    <row r="214" customFormat="false" ht="23.85" hidden="false" customHeight="false" outlineLevel="0" collapsed="false">
      <c r="A214" s="11" t="s">
        <v>1261</v>
      </c>
      <c r="B214" s="11" t="s">
        <v>1193</v>
      </c>
      <c r="C214" s="11" t="s">
        <v>310</v>
      </c>
      <c r="D214" s="11" t="s">
        <v>1262</v>
      </c>
      <c r="E214" s="11" t="s">
        <v>1263</v>
      </c>
      <c r="F214" s="11" t="s">
        <v>1264</v>
      </c>
      <c r="G214" s="11" t="s">
        <v>310</v>
      </c>
      <c r="H214" s="11" t="s">
        <v>310</v>
      </c>
      <c r="I214" s="11" t="s">
        <v>292</v>
      </c>
      <c r="J214" s="15" t="s">
        <v>100</v>
      </c>
      <c r="K214" s="15" t="s">
        <v>101</v>
      </c>
      <c r="L214" s="15" t="n">
        <v>5</v>
      </c>
      <c r="M214" s="15" t="n">
        <v>17</v>
      </c>
      <c r="N214" s="11" t="str">
        <f aca="false">IF(M214&lt;=4,"R1 Foundation",IF(M214&lt;=8,"R2 Core Clinic",IF(M214&lt;=13,"R3 Revenue &amp; Messaging",IF(M214&lt;=18,"R4 Patient &amp; Platform",IF(M214&lt;=20,"R5 Harden","R6 Launch")))))</f>
        <v>R4 Patient &amp; Platform</v>
      </c>
      <c r="O214" s="16" t="n">
        <f aca="false">L214*README!$B$32</f>
        <v>3</v>
      </c>
      <c r="P214" s="11" t="s">
        <v>1265</v>
      </c>
      <c r="Q214" s="11" t="s">
        <v>1266</v>
      </c>
      <c r="R214" s="11" t="s">
        <v>103</v>
      </c>
      <c r="S214" s="11"/>
    </row>
    <row r="215" customFormat="false" ht="23.85" hidden="false" customHeight="false" outlineLevel="0" collapsed="false">
      <c r="A215" s="17" t="s">
        <v>1267</v>
      </c>
      <c r="B215" s="17" t="s">
        <v>1193</v>
      </c>
      <c r="C215" s="17" t="s">
        <v>310</v>
      </c>
      <c r="D215" s="17" t="s">
        <v>1268</v>
      </c>
      <c r="E215" s="17" t="s">
        <v>1269</v>
      </c>
      <c r="F215" s="17" t="s">
        <v>1270</v>
      </c>
      <c r="G215" s="17" t="s">
        <v>310</v>
      </c>
      <c r="H215" s="17" t="s">
        <v>310</v>
      </c>
      <c r="I215" s="17" t="s">
        <v>292</v>
      </c>
      <c r="J215" s="18" t="s">
        <v>100</v>
      </c>
      <c r="K215" s="18" t="s">
        <v>101</v>
      </c>
      <c r="L215" s="18" t="n">
        <v>8</v>
      </c>
      <c r="M215" s="18" t="n">
        <v>18</v>
      </c>
      <c r="N215" s="17" t="str">
        <f aca="false">IF(M215&lt;=4,"R1 Foundation",IF(M215&lt;=8,"R2 Core Clinic",IF(M215&lt;=13,"R3 Revenue &amp; Messaging",IF(M215&lt;=18,"R4 Patient &amp; Platform",IF(M215&lt;=20,"R5 Harden","R6 Launch")))))</f>
        <v>R4 Patient &amp; Platform</v>
      </c>
      <c r="O215" s="19" t="n">
        <f aca="false">L215*README!$B$32</f>
        <v>4.8</v>
      </c>
      <c r="P215" s="17" t="s">
        <v>1271</v>
      </c>
      <c r="Q215" s="17" t="s">
        <v>1272</v>
      </c>
      <c r="R215" s="17" t="s">
        <v>103</v>
      </c>
      <c r="S215" s="17"/>
    </row>
    <row r="216" customFormat="false" ht="23.85" hidden="false" customHeight="false" outlineLevel="0" collapsed="false">
      <c r="A216" s="11" t="s">
        <v>1273</v>
      </c>
      <c r="B216" s="11" t="s">
        <v>1193</v>
      </c>
      <c r="C216" s="11" t="s">
        <v>310</v>
      </c>
      <c r="D216" s="11" t="s">
        <v>1274</v>
      </c>
      <c r="E216" s="11" t="s">
        <v>1275</v>
      </c>
      <c r="F216" s="11" t="s">
        <v>260</v>
      </c>
      <c r="G216" s="11" t="s">
        <v>310</v>
      </c>
      <c r="H216" s="11" t="s">
        <v>310</v>
      </c>
      <c r="I216" s="11" t="s">
        <v>292</v>
      </c>
      <c r="J216" s="15" t="s">
        <v>100</v>
      </c>
      <c r="K216" s="15" t="s">
        <v>101</v>
      </c>
      <c r="L216" s="15" t="n">
        <v>8</v>
      </c>
      <c r="M216" s="15" t="n">
        <v>17</v>
      </c>
      <c r="N216" s="11" t="str">
        <f aca="false">IF(M216&lt;=4,"R1 Foundation",IF(M216&lt;=8,"R2 Core Clinic",IF(M216&lt;=13,"R3 Revenue &amp; Messaging",IF(M216&lt;=18,"R4 Patient &amp; Platform",IF(M216&lt;=20,"R5 Harden","R6 Launch")))))</f>
        <v>R4 Patient &amp; Platform</v>
      </c>
      <c r="O216" s="16" t="n">
        <f aca="false">L216*README!$B$32</f>
        <v>4.8</v>
      </c>
      <c r="P216" s="11" t="s">
        <v>1276</v>
      </c>
      <c r="Q216" s="11" t="s">
        <v>1277</v>
      </c>
      <c r="R216" s="11" t="s">
        <v>103</v>
      </c>
      <c r="S216" s="11"/>
    </row>
    <row r="217" customFormat="false" ht="23.85" hidden="false" customHeight="false" outlineLevel="0" collapsed="false">
      <c r="A217" s="17" t="s">
        <v>1278</v>
      </c>
      <c r="B217" s="17" t="s">
        <v>1193</v>
      </c>
      <c r="C217" s="17" t="s">
        <v>310</v>
      </c>
      <c r="D217" s="17" t="s">
        <v>1279</v>
      </c>
      <c r="E217" s="17" t="s">
        <v>1280</v>
      </c>
      <c r="F217" s="17" t="s">
        <v>1281</v>
      </c>
      <c r="G217" s="17" t="s">
        <v>310</v>
      </c>
      <c r="H217" s="17" t="s">
        <v>310</v>
      </c>
      <c r="I217" s="17" t="s">
        <v>292</v>
      </c>
      <c r="J217" s="18" t="s">
        <v>100</v>
      </c>
      <c r="K217" s="18" t="s">
        <v>101</v>
      </c>
      <c r="L217" s="18" t="n">
        <v>5</v>
      </c>
      <c r="M217" s="18" t="n">
        <v>18</v>
      </c>
      <c r="N217" s="17" t="str">
        <f aca="false">IF(M217&lt;=4,"R1 Foundation",IF(M217&lt;=8,"R2 Core Clinic",IF(M217&lt;=13,"R3 Revenue &amp; Messaging",IF(M217&lt;=18,"R4 Patient &amp; Platform",IF(M217&lt;=20,"R5 Harden","R6 Launch")))))</f>
        <v>R4 Patient &amp; Platform</v>
      </c>
      <c r="O217" s="19" t="n">
        <f aca="false">L217*README!$B$32</f>
        <v>3</v>
      </c>
      <c r="P217" s="17" t="s">
        <v>1282</v>
      </c>
      <c r="Q217" s="17" t="s">
        <v>1283</v>
      </c>
      <c r="R217" s="17" t="s">
        <v>103</v>
      </c>
      <c r="S217" s="17"/>
    </row>
    <row r="218" customFormat="false" ht="23.85" hidden="false" customHeight="false" outlineLevel="0" collapsed="false">
      <c r="A218" s="11" t="s">
        <v>1284</v>
      </c>
      <c r="B218" s="11" t="s">
        <v>1193</v>
      </c>
      <c r="C218" s="11" t="s">
        <v>310</v>
      </c>
      <c r="D218" s="11" t="s">
        <v>1285</v>
      </c>
      <c r="E218" s="11" t="s">
        <v>1286</v>
      </c>
      <c r="F218" s="11" t="s">
        <v>1287</v>
      </c>
      <c r="G218" s="11" t="s">
        <v>310</v>
      </c>
      <c r="H218" s="11" t="s">
        <v>310</v>
      </c>
      <c r="I218" s="11" t="s">
        <v>292</v>
      </c>
      <c r="J218" s="15" t="s">
        <v>130</v>
      </c>
      <c r="K218" s="15" t="s">
        <v>211</v>
      </c>
      <c r="L218" s="15" t="n">
        <v>3</v>
      </c>
      <c r="M218" s="15" t="n">
        <v>19</v>
      </c>
      <c r="N218" s="11" t="str">
        <f aca="false">IF(M218&lt;=4,"R1 Foundation",IF(M218&lt;=8,"R2 Core Clinic",IF(M218&lt;=13,"R3 Revenue &amp; Messaging",IF(M218&lt;=18,"R4 Patient &amp; Platform",IF(M218&lt;=20,"R5 Harden","R6 Launch")))))</f>
        <v>R5 Harden</v>
      </c>
      <c r="O218" s="16" t="n">
        <f aca="false">L218*README!$B$32</f>
        <v>1.8</v>
      </c>
      <c r="P218" s="11" t="s">
        <v>1255</v>
      </c>
      <c r="Q218" s="11" t="s">
        <v>1288</v>
      </c>
      <c r="R218" s="11" t="s">
        <v>103</v>
      </c>
      <c r="S218" s="11"/>
    </row>
    <row r="219" customFormat="false" ht="23.85" hidden="false" customHeight="false" outlineLevel="0" collapsed="false">
      <c r="A219" s="17" t="s">
        <v>1289</v>
      </c>
      <c r="B219" s="17" t="s">
        <v>1193</v>
      </c>
      <c r="C219" s="17" t="s">
        <v>310</v>
      </c>
      <c r="D219" s="17" t="s">
        <v>1290</v>
      </c>
      <c r="E219" s="17" t="s">
        <v>1291</v>
      </c>
      <c r="F219" s="17" t="s">
        <v>1292</v>
      </c>
      <c r="G219" s="17" t="s">
        <v>310</v>
      </c>
      <c r="H219" s="17" t="s">
        <v>310</v>
      </c>
      <c r="I219" s="17" t="s">
        <v>292</v>
      </c>
      <c r="J219" s="18" t="s">
        <v>210</v>
      </c>
      <c r="K219" s="18" t="s">
        <v>211</v>
      </c>
      <c r="L219" s="18" t="n">
        <v>5</v>
      </c>
      <c r="M219" s="18" t="n">
        <v>20</v>
      </c>
      <c r="N219" s="17" t="str">
        <f aca="false">IF(M219&lt;=4,"R1 Foundation",IF(M219&lt;=8,"R2 Core Clinic",IF(M219&lt;=13,"R3 Revenue &amp; Messaging",IF(M219&lt;=18,"R4 Patient &amp; Platform",IF(M219&lt;=20,"R5 Harden","R6 Launch")))))</f>
        <v>R5 Harden</v>
      </c>
      <c r="O219" s="19" t="n">
        <f aca="false">L219*README!$B$32</f>
        <v>3</v>
      </c>
      <c r="P219" s="17" t="s">
        <v>1192</v>
      </c>
      <c r="Q219" s="17" t="s">
        <v>1293</v>
      </c>
      <c r="R219" s="17" t="s">
        <v>103</v>
      </c>
      <c r="S219" s="17"/>
    </row>
    <row r="220" customFormat="false" ht="23.85" hidden="false" customHeight="false" outlineLevel="0" collapsed="false">
      <c r="A220" s="11" t="s">
        <v>1294</v>
      </c>
      <c r="B220" s="11" t="s">
        <v>1193</v>
      </c>
      <c r="C220" s="11" t="s">
        <v>310</v>
      </c>
      <c r="D220" s="11" t="s">
        <v>1295</v>
      </c>
      <c r="E220" s="11" t="s">
        <v>1296</v>
      </c>
      <c r="F220" s="11" t="s">
        <v>1297</v>
      </c>
      <c r="G220" s="11" t="s">
        <v>310</v>
      </c>
      <c r="H220" s="11" t="s">
        <v>310</v>
      </c>
      <c r="I220" s="11" t="s">
        <v>292</v>
      </c>
      <c r="J220" s="15" t="s">
        <v>210</v>
      </c>
      <c r="K220" s="15" t="s">
        <v>460</v>
      </c>
      <c r="L220" s="15" t="n">
        <v>8</v>
      </c>
      <c r="M220" s="15" t="n">
        <v>21</v>
      </c>
      <c r="N220" s="11" t="str">
        <f aca="false">IF(M220&lt;=4,"R1 Foundation",IF(M220&lt;=8,"R2 Core Clinic",IF(M220&lt;=13,"R3 Revenue &amp; Messaging",IF(M220&lt;=18,"R4 Patient &amp; Platform",IF(M220&lt;=20,"R5 Harden","R6 Launch")))))</f>
        <v>R6 Launch</v>
      </c>
      <c r="O220" s="16" t="n">
        <f aca="false">L220*README!$B$32</f>
        <v>4.8</v>
      </c>
      <c r="P220" s="11" t="s">
        <v>577</v>
      </c>
      <c r="Q220" s="11" t="s">
        <v>1298</v>
      </c>
      <c r="R220" s="11" t="s">
        <v>103</v>
      </c>
      <c r="S220" s="11"/>
    </row>
    <row r="221" customFormat="false" ht="23.85" hidden="false" customHeight="false" outlineLevel="0" collapsed="false">
      <c r="A221" s="17" t="s">
        <v>1299</v>
      </c>
      <c r="B221" s="17" t="s">
        <v>1193</v>
      </c>
      <c r="C221" s="17" t="s">
        <v>310</v>
      </c>
      <c r="D221" s="17" t="s">
        <v>1300</v>
      </c>
      <c r="E221" s="17" t="s">
        <v>1301</v>
      </c>
      <c r="F221" s="17" t="s">
        <v>1302</v>
      </c>
      <c r="G221" s="17" t="s">
        <v>1303</v>
      </c>
      <c r="H221" s="17" t="s">
        <v>310</v>
      </c>
      <c r="I221" s="17" t="s">
        <v>1012</v>
      </c>
      <c r="J221" s="18" t="s">
        <v>210</v>
      </c>
      <c r="K221" s="18" t="s">
        <v>460</v>
      </c>
      <c r="L221" s="18" t="n">
        <v>8</v>
      </c>
      <c r="M221" s="18" t="n">
        <v>22</v>
      </c>
      <c r="N221" s="17" t="str">
        <f aca="false">IF(M221&lt;=4,"R1 Foundation",IF(M221&lt;=8,"R2 Core Clinic",IF(M221&lt;=13,"R3 Revenue &amp; Messaging",IF(M221&lt;=18,"R4 Patient &amp; Platform",IF(M221&lt;=20,"R5 Harden","R6 Launch")))))</f>
        <v>R6 Launch</v>
      </c>
      <c r="O221" s="19" t="n">
        <f aca="false">L221*README!$B$32</f>
        <v>4.8</v>
      </c>
      <c r="P221" s="17" t="s">
        <v>1198</v>
      </c>
      <c r="Q221" s="17" t="s">
        <v>1304</v>
      </c>
      <c r="R221" s="17" t="s">
        <v>103</v>
      </c>
      <c r="S221" s="17"/>
    </row>
    <row r="222" customFormat="false" ht="23.85" hidden="false" customHeight="false" outlineLevel="0" collapsed="false">
      <c r="A222" s="11" t="s">
        <v>1305</v>
      </c>
      <c r="B222" s="11" t="s">
        <v>1306</v>
      </c>
      <c r="C222" s="11" t="s">
        <v>1307</v>
      </c>
      <c r="D222" s="11" t="s">
        <v>1308</v>
      </c>
      <c r="E222" s="11" t="s">
        <v>1309</v>
      </c>
      <c r="F222" s="11" t="s">
        <v>1310</v>
      </c>
      <c r="G222" s="11" t="s">
        <v>310</v>
      </c>
      <c r="H222" s="11" t="s">
        <v>310</v>
      </c>
      <c r="I222" s="11" t="s">
        <v>292</v>
      </c>
      <c r="J222" s="15" t="s">
        <v>130</v>
      </c>
      <c r="K222" s="15" t="s">
        <v>211</v>
      </c>
      <c r="L222" s="15" t="n">
        <v>13</v>
      </c>
      <c r="M222" s="15" t="n">
        <v>18</v>
      </c>
      <c r="N222" s="11" t="str">
        <f aca="false">IF(M222&lt;=4,"R1 Foundation",IF(M222&lt;=8,"R2 Core Clinic",IF(M222&lt;=13,"R3 Revenue &amp; Messaging",IF(M222&lt;=18,"R4 Patient &amp; Platform",IF(M222&lt;=20,"R5 Harden","R6 Launch")))))</f>
        <v>R4 Patient &amp; Platform</v>
      </c>
      <c r="O222" s="16" t="n">
        <f aca="false">L222*README!$B$32</f>
        <v>7.8</v>
      </c>
      <c r="P222" s="11" t="s">
        <v>1311</v>
      </c>
      <c r="Q222" s="11" t="s">
        <v>1312</v>
      </c>
      <c r="R222" s="11" t="s">
        <v>103</v>
      </c>
      <c r="S222" s="11"/>
    </row>
    <row r="223" customFormat="false" ht="23.85" hidden="false" customHeight="false" outlineLevel="0" collapsed="false">
      <c r="A223" s="17" t="s">
        <v>1313</v>
      </c>
      <c r="B223" s="17" t="s">
        <v>1306</v>
      </c>
      <c r="C223" s="17" t="s">
        <v>1307</v>
      </c>
      <c r="D223" s="17" t="s">
        <v>1314</v>
      </c>
      <c r="E223" s="17" t="s">
        <v>1315</v>
      </c>
      <c r="F223" s="17" t="s">
        <v>1316</v>
      </c>
      <c r="G223" s="17" t="s">
        <v>310</v>
      </c>
      <c r="H223" s="17" t="s">
        <v>310</v>
      </c>
      <c r="I223" s="17" t="s">
        <v>114</v>
      </c>
      <c r="J223" s="18" t="s">
        <v>100</v>
      </c>
      <c r="K223" s="18" t="s">
        <v>211</v>
      </c>
      <c r="L223" s="18" t="n">
        <v>8</v>
      </c>
      <c r="M223" s="18" t="n">
        <v>18</v>
      </c>
      <c r="N223" s="17" t="str">
        <f aca="false">IF(M223&lt;=4,"R1 Foundation",IF(M223&lt;=8,"R2 Core Clinic",IF(M223&lt;=13,"R3 Revenue &amp; Messaging",IF(M223&lt;=18,"R4 Patient &amp; Platform",IF(M223&lt;=20,"R5 Harden","R6 Launch")))))</f>
        <v>R4 Patient &amp; Platform</v>
      </c>
      <c r="O223" s="19" t="n">
        <f aca="false">L223*README!$B$32</f>
        <v>4.8</v>
      </c>
      <c r="P223" s="17" t="s">
        <v>1305</v>
      </c>
      <c r="Q223" s="17" t="s">
        <v>1317</v>
      </c>
      <c r="R223" s="17" t="s">
        <v>103</v>
      </c>
      <c r="S223" s="17"/>
    </row>
    <row r="224" customFormat="false" ht="35.05" hidden="false" customHeight="false" outlineLevel="0" collapsed="false">
      <c r="A224" s="11" t="s">
        <v>1318</v>
      </c>
      <c r="B224" s="11" t="s">
        <v>1306</v>
      </c>
      <c r="C224" s="11" t="s">
        <v>1307</v>
      </c>
      <c r="D224" s="11" t="s">
        <v>1319</v>
      </c>
      <c r="E224" s="11" t="s">
        <v>1320</v>
      </c>
      <c r="F224" s="11" t="s">
        <v>31</v>
      </c>
      <c r="G224" s="11" t="s">
        <v>310</v>
      </c>
      <c r="H224" s="11" t="s">
        <v>310</v>
      </c>
      <c r="I224" s="11" t="s">
        <v>114</v>
      </c>
      <c r="J224" s="15" t="s">
        <v>130</v>
      </c>
      <c r="K224" s="15" t="s">
        <v>211</v>
      </c>
      <c r="L224" s="15" t="n">
        <v>8</v>
      </c>
      <c r="M224" s="15" t="n">
        <v>19</v>
      </c>
      <c r="N224" s="11" t="str">
        <f aca="false">IF(M224&lt;=4,"R1 Foundation",IF(M224&lt;=8,"R2 Core Clinic",IF(M224&lt;=13,"R3 Revenue &amp; Messaging",IF(M224&lt;=18,"R4 Patient &amp; Platform",IF(M224&lt;=20,"R5 Harden","R6 Launch")))))</f>
        <v>R5 Harden</v>
      </c>
      <c r="O224" s="16" t="n">
        <f aca="false">L224*README!$B$32</f>
        <v>4.8</v>
      </c>
      <c r="P224" s="11" t="s">
        <v>1321</v>
      </c>
      <c r="Q224" s="11" t="s">
        <v>1322</v>
      </c>
      <c r="R224" s="11" t="s">
        <v>103</v>
      </c>
      <c r="S224" s="11"/>
    </row>
    <row r="225" customFormat="false" ht="23.85" hidden="false" customHeight="false" outlineLevel="0" collapsed="false">
      <c r="A225" s="17" t="s">
        <v>1323</v>
      </c>
      <c r="B225" s="17" t="s">
        <v>1306</v>
      </c>
      <c r="C225" s="17" t="s">
        <v>1307</v>
      </c>
      <c r="D225" s="17" t="s">
        <v>1324</v>
      </c>
      <c r="E225" s="17" t="s">
        <v>1325</v>
      </c>
      <c r="F225" s="17" t="s">
        <v>1310</v>
      </c>
      <c r="G225" s="17" t="s">
        <v>310</v>
      </c>
      <c r="H225" s="17" t="s">
        <v>310</v>
      </c>
      <c r="I225" s="17" t="s">
        <v>292</v>
      </c>
      <c r="J225" s="18" t="s">
        <v>130</v>
      </c>
      <c r="K225" s="18" t="s">
        <v>211</v>
      </c>
      <c r="L225" s="18" t="n">
        <v>8</v>
      </c>
      <c r="M225" s="18" t="n">
        <v>19</v>
      </c>
      <c r="N225" s="17" t="str">
        <f aca="false">IF(M225&lt;=4,"R1 Foundation",IF(M225&lt;=8,"R2 Core Clinic",IF(M225&lt;=13,"R3 Revenue &amp; Messaging",IF(M225&lt;=18,"R4 Patient &amp; Platform",IF(M225&lt;=20,"R5 Harden","R6 Launch")))))</f>
        <v>R5 Harden</v>
      </c>
      <c r="O225" s="19" t="n">
        <f aca="false">L225*README!$B$32</f>
        <v>4.8</v>
      </c>
      <c r="P225" s="17" t="s">
        <v>1326</v>
      </c>
      <c r="Q225" s="17" t="s">
        <v>1327</v>
      </c>
      <c r="R225" s="17" t="s">
        <v>103</v>
      </c>
      <c r="S225" s="17"/>
    </row>
    <row r="226" customFormat="false" ht="23.85" hidden="false" customHeight="false" outlineLevel="0" collapsed="false">
      <c r="A226" s="11" t="s">
        <v>1328</v>
      </c>
      <c r="B226" s="11" t="s">
        <v>1306</v>
      </c>
      <c r="C226" s="11" t="s">
        <v>1307</v>
      </c>
      <c r="D226" s="11" t="s">
        <v>1329</v>
      </c>
      <c r="E226" s="11" t="s">
        <v>1330</v>
      </c>
      <c r="F226" s="11" t="s">
        <v>1331</v>
      </c>
      <c r="G226" s="11" t="s">
        <v>310</v>
      </c>
      <c r="H226" s="11" t="s">
        <v>310</v>
      </c>
      <c r="I226" s="11" t="s">
        <v>114</v>
      </c>
      <c r="J226" s="15" t="s">
        <v>130</v>
      </c>
      <c r="K226" s="15" t="s">
        <v>211</v>
      </c>
      <c r="L226" s="15" t="n">
        <v>8</v>
      </c>
      <c r="M226" s="15" t="n">
        <v>20</v>
      </c>
      <c r="N226" s="11" t="str">
        <f aca="false">IF(M226&lt;=4,"R1 Foundation",IF(M226&lt;=8,"R2 Core Clinic",IF(M226&lt;=13,"R3 Revenue &amp; Messaging",IF(M226&lt;=18,"R4 Patient &amp; Platform",IF(M226&lt;=20,"R5 Harden","R6 Launch")))))</f>
        <v>R5 Harden</v>
      </c>
      <c r="O226" s="16" t="n">
        <f aca="false">L226*README!$B$32</f>
        <v>4.8</v>
      </c>
      <c r="P226" s="11" t="s">
        <v>1332</v>
      </c>
      <c r="Q226" s="11" t="s">
        <v>1333</v>
      </c>
      <c r="R226" s="11" t="s">
        <v>103</v>
      </c>
      <c r="S226" s="11"/>
    </row>
    <row r="227" customFormat="false" ht="23.85" hidden="false" customHeight="false" outlineLevel="0" collapsed="false">
      <c r="A227" s="17" t="s">
        <v>1334</v>
      </c>
      <c r="B227" s="17" t="s">
        <v>1306</v>
      </c>
      <c r="C227" s="17" t="s">
        <v>1307</v>
      </c>
      <c r="D227" s="17" t="s">
        <v>1335</v>
      </c>
      <c r="E227" s="17" t="s">
        <v>1336</v>
      </c>
      <c r="F227" s="17" t="s">
        <v>1337</v>
      </c>
      <c r="G227" s="17" t="s">
        <v>310</v>
      </c>
      <c r="H227" s="17" t="s">
        <v>310</v>
      </c>
      <c r="I227" s="17" t="s">
        <v>168</v>
      </c>
      <c r="J227" s="18" t="s">
        <v>130</v>
      </c>
      <c r="K227" s="18" t="s">
        <v>211</v>
      </c>
      <c r="L227" s="18" t="n">
        <v>3</v>
      </c>
      <c r="M227" s="18" t="n">
        <v>20</v>
      </c>
      <c r="N227" s="17" t="str">
        <f aca="false">IF(M227&lt;=4,"R1 Foundation",IF(M227&lt;=8,"R2 Core Clinic",IF(M227&lt;=13,"R3 Revenue &amp; Messaging",IF(M227&lt;=18,"R4 Patient &amp; Platform",IF(M227&lt;=20,"R5 Harden","R6 Launch")))))</f>
        <v>R5 Harden</v>
      </c>
      <c r="O227" s="19" t="n">
        <f aca="false">L227*README!$B$32</f>
        <v>1.8</v>
      </c>
      <c r="P227" s="17" t="s">
        <v>1328</v>
      </c>
      <c r="Q227" s="17" t="s">
        <v>1338</v>
      </c>
      <c r="R227" s="17" t="s">
        <v>103</v>
      </c>
      <c r="S227" s="17"/>
    </row>
    <row r="228" customFormat="false" ht="23.85" hidden="false" customHeight="false" outlineLevel="0" collapsed="false">
      <c r="A228" s="11" t="s">
        <v>1339</v>
      </c>
      <c r="B228" s="11" t="s">
        <v>1306</v>
      </c>
      <c r="C228" s="11" t="s">
        <v>1307</v>
      </c>
      <c r="D228" s="11" t="s">
        <v>1340</v>
      </c>
      <c r="E228" s="11" t="s">
        <v>1341</v>
      </c>
      <c r="F228" s="11" t="s">
        <v>1342</v>
      </c>
      <c r="G228" s="11" t="s">
        <v>107</v>
      </c>
      <c r="H228" s="11" t="s">
        <v>107</v>
      </c>
      <c r="I228" s="11" t="s">
        <v>292</v>
      </c>
      <c r="J228" s="15" t="s">
        <v>130</v>
      </c>
      <c r="K228" s="15" t="s">
        <v>211</v>
      </c>
      <c r="L228" s="15" t="n">
        <v>8</v>
      </c>
      <c r="M228" s="15" t="n">
        <v>20</v>
      </c>
      <c r="N228" s="11" t="str">
        <f aca="false">IF(M228&lt;=4,"R1 Foundation",IF(M228&lt;=8,"R2 Core Clinic",IF(M228&lt;=13,"R3 Revenue &amp; Messaging",IF(M228&lt;=18,"R4 Patient &amp; Platform",IF(M228&lt;=20,"R5 Harden","R6 Launch")))))</f>
        <v>R5 Harden</v>
      </c>
      <c r="O228" s="16" t="n">
        <f aca="false">L228*README!$B$32</f>
        <v>4.8</v>
      </c>
      <c r="P228" s="11" t="s">
        <v>1343</v>
      </c>
      <c r="Q228" s="11" t="s">
        <v>1344</v>
      </c>
      <c r="R228" s="11" t="s">
        <v>103</v>
      </c>
      <c r="S228" s="11"/>
    </row>
    <row r="229" customFormat="false" ht="23.85" hidden="false" customHeight="false" outlineLevel="0" collapsed="false">
      <c r="A229" s="17" t="s">
        <v>1345</v>
      </c>
      <c r="B229" s="17" t="s">
        <v>1346</v>
      </c>
      <c r="C229" s="17" t="s">
        <v>1347</v>
      </c>
      <c r="D229" s="17" t="s">
        <v>1348</v>
      </c>
      <c r="E229" s="17" t="s">
        <v>1349</v>
      </c>
      <c r="F229" s="17"/>
      <c r="G229" s="17" t="s">
        <v>233</v>
      </c>
      <c r="H229" s="17" t="s">
        <v>291</v>
      </c>
      <c r="I229" s="17" t="s">
        <v>114</v>
      </c>
      <c r="J229" s="18" t="s">
        <v>100</v>
      </c>
      <c r="K229" s="18" t="s">
        <v>101</v>
      </c>
      <c r="L229" s="18" t="n">
        <v>8</v>
      </c>
      <c r="M229" s="18" t="n">
        <v>13</v>
      </c>
      <c r="N229" s="17" t="str">
        <f aca="false">IF(M229&lt;=4,"R1 Foundation",IF(M229&lt;=8,"R2 Core Clinic",IF(M229&lt;=13,"R3 Revenue &amp; Messaging",IF(M229&lt;=18,"R4 Patient &amp; Platform",IF(M229&lt;=20,"R5 Harden","R6 Launch")))))</f>
        <v>R3 Revenue &amp; Messaging</v>
      </c>
      <c r="O229" s="19" t="n">
        <f aca="false">L229*README!$B$32</f>
        <v>4.8</v>
      </c>
      <c r="P229" s="17" t="s">
        <v>1350</v>
      </c>
      <c r="Q229" s="17" t="s">
        <v>1351</v>
      </c>
      <c r="R229" s="17" t="s">
        <v>103</v>
      </c>
      <c r="S229" s="17"/>
    </row>
    <row r="230" customFormat="false" ht="23.85" hidden="false" customHeight="false" outlineLevel="0" collapsed="false">
      <c r="A230" s="11" t="s">
        <v>1352</v>
      </c>
      <c r="B230" s="11" t="s">
        <v>1346</v>
      </c>
      <c r="C230" s="11" t="s">
        <v>1347</v>
      </c>
      <c r="D230" s="11" t="s">
        <v>1353</v>
      </c>
      <c r="E230" s="11" t="s">
        <v>1354</v>
      </c>
      <c r="F230" s="11" t="s">
        <v>232</v>
      </c>
      <c r="G230" s="11" t="s">
        <v>233</v>
      </c>
      <c r="H230" s="11" t="s">
        <v>291</v>
      </c>
      <c r="I230" s="11" t="s">
        <v>292</v>
      </c>
      <c r="J230" s="15" t="s">
        <v>100</v>
      </c>
      <c r="K230" s="15" t="s">
        <v>101</v>
      </c>
      <c r="L230" s="15" t="n">
        <v>5</v>
      </c>
      <c r="M230" s="15" t="n">
        <v>15</v>
      </c>
      <c r="N230" s="11" t="str">
        <f aca="false">IF(M230&lt;=4,"R1 Foundation",IF(M230&lt;=8,"R2 Core Clinic",IF(M230&lt;=13,"R3 Revenue &amp; Messaging",IF(M230&lt;=18,"R4 Patient &amp; Platform",IF(M230&lt;=20,"R5 Harden","R6 Launch")))))</f>
        <v>R4 Patient &amp; Platform</v>
      </c>
      <c r="O230" s="16" t="n">
        <f aca="false">L230*README!$B$32</f>
        <v>3</v>
      </c>
      <c r="P230" s="11" t="s">
        <v>1355</v>
      </c>
      <c r="Q230" s="11" t="s">
        <v>1356</v>
      </c>
      <c r="R230" s="11" t="s">
        <v>103</v>
      </c>
      <c r="S230" s="11"/>
    </row>
    <row r="231" customFormat="false" ht="23.85" hidden="false" customHeight="false" outlineLevel="0" collapsed="false">
      <c r="A231" s="17" t="s">
        <v>1357</v>
      </c>
      <c r="B231" s="17" t="s">
        <v>1346</v>
      </c>
      <c r="C231" s="17" t="s">
        <v>1347</v>
      </c>
      <c r="D231" s="17" t="s">
        <v>1358</v>
      </c>
      <c r="E231" s="17" t="s">
        <v>1359</v>
      </c>
      <c r="F231" s="17" t="s">
        <v>530</v>
      </c>
      <c r="G231" s="17" t="s">
        <v>233</v>
      </c>
      <c r="H231" s="17" t="s">
        <v>291</v>
      </c>
      <c r="I231" s="17" t="s">
        <v>292</v>
      </c>
      <c r="J231" s="18" t="s">
        <v>100</v>
      </c>
      <c r="K231" s="18" t="s">
        <v>101</v>
      </c>
      <c r="L231" s="18" t="n">
        <v>5</v>
      </c>
      <c r="M231" s="18" t="n">
        <v>16</v>
      </c>
      <c r="N231" s="17" t="str">
        <f aca="false">IF(M231&lt;=4,"R1 Foundation",IF(M231&lt;=8,"R2 Core Clinic",IF(M231&lt;=13,"R3 Revenue &amp; Messaging",IF(M231&lt;=18,"R4 Patient &amp; Platform",IF(M231&lt;=20,"R5 Harden","R6 Launch")))))</f>
        <v>R4 Patient &amp; Platform</v>
      </c>
      <c r="O231" s="19" t="n">
        <f aca="false">L231*README!$B$32</f>
        <v>3</v>
      </c>
      <c r="P231" s="17" t="s">
        <v>1360</v>
      </c>
      <c r="Q231" s="17" t="s">
        <v>1361</v>
      </c>
      <c r="R231" s="17" t="s">
        <v>103</v>
      </c>
      <c r="S231" s="17"/>
    </row>
    <row r="232" customFormat="false" ht="23.85" hidden="false" customHeight="false" outlineLevel="0" collapsed="false">
      <c r="A232" s="11" t="s">
        <v>1362</v>
      </c>
      <c r="B232" s="11" t="s">
        <v>1346</v>
      </c>
      <c r="C232" s="11" t="s">
        <v>1347</v>
      </c>
      <c r="D232" s="11" t="s">
        <v>1363</v>
      </c>
      <c r="E232" s="11" t="s">
        <v>1364</v>
      </c>
      <c r="F232" s="11" t="s">
        <v>1365</v>
      </c>
      <c r="G232" s="11" t="s">
        <v>233</v>
      </c>
      <c r="H232" s="11" t="s">
        <v>291</v>
      </c>
      <c r="I232" s="11" t="s">
        <v>292</v>
      </c>
      <c r="J232" s="15" t="s">
        <v>130</v>
      </c>
      <c r="K232" s="15" t="s">
        <v>101</v>
      </c>
      <c r="L232" s="15" t="n">
        <v>5</v>
      </c>
      <c r="M232" s="15" t="n">
        <v>16</v>
      </c>
      <c r="N232" s="11" t="str">
        <f aca="false">IF(M232&lt;=4,"R1 Foundation",IF(M232&lt;=8,"R2 Core Clinic",IF(M232&lt;=13,"R3 Revenue &amp; Messaging",IF(M232&lt;=18,"R4 Patient &amp; Platform",IF(M232&lt;=20,"R5 Harden","R6 Launch")))))</f>
        <v>R4 Patient &amp; Platform</v>
      </c>
      <c r="O232" s="16" t="n">
        <f aca="false">L232*README!$B$32</f>
        <v>3</v>
      </c>
      <c r="P232" s="11" t="s">
        <v>1366</v>
      </c>
      <c r="Q232" s="11" t="s">
        <v>1367</v>
      </c>
      <c r="R232" s="11" t="s">
        <v>103</v>
      </c>
      <c r="S232" s="11"/>
    </row>
    <row r="233" customFormat="false" ht="23.85" hidden="false" customHeight="false" outlineLevel="0" collapsed="false">
      <c r="A233" s="17" t="s">
        <v>1368</v>
      </c>
      <c r="B233" s="17" t="s">
        <v>1346</v>
      </c>
      <c r="C233" s="17" t="s">
        <v>1347</v>
      </c>
      <c r="D233" s="17" t="s">
        <v>1369</v>
      </c>
      <c r="E233" s="17" t="s">
        <v>1370</v>
      </c>
      <c r="F233" s="17" t="s">
        <v>1371</v>
      </c>
      <c r="G233" s="17" t="s">
        <v>233</v>
      </c>
      <c r="H233" s="17" t="s">
        <v>291</v>
      </c>
      <c r="I233" s="17" t="s">
        <v>292</v>
      </c>
      <c r="J233" s="18" t="s">
        <v>100</v>
      </c>
      <c r="K233" s="18" t="s">
        <v>101</v>
      </c>
      <c r="L233" s="18" t="n">
        <v>5</v>
      </c>
      <c r="M233" s="18" t="n">
        <v>16</v>
      </c>
      <c r="N233" s="17" t="str">
        <f aca="false">IF(M233&lt;=4,"R1 Foundation",IF(M233&lt;=8,"R2 Core Clinic",IF(M233&lt;=13,"R3 Revenue &amp; Messaging",IF(M233&lt;=18,"R4 Patient &amp; Platform",IF(M233&lt;=20,"R5 Harden","R6 Launch")))))</f>
        <v>R4 Patient &amp; Platform</v>
      </c>
      <c r="O233" s="19" t="n">
        <f aca="false">L233*README!$B$32</f>
        <v>3</v>
      </c>
      <c r="P233" s="17" t="s">
        <v>973</v>
      </c>
      <c r="Q233" s="17" t="s">
        <v>1372</v>
      </c>
      <c r="R233" s="17" t="s">
        <v>103</v>
      </c>
      <c r="S233" s="17"/>
    </row>
    <row r="234" customFormat="false" ht="23.85" hidden="false" customHeight="false" outlineLevel="0" collapsed="false">
      <c r="A234" s="11" t="s">
        <v>1373</v>
      </c>
      <c r="B234" s="11" t="s">
        <v>1346</v>
      </c>
      <c r="C234" s="11" t="s">
        <v>1347</v>
      </c>
      <c r="D234" s="11" t="s">
        <v>1374</v>
      </c>
      <c r="E234" s="11" t="s">
        <v>1375</v>
      </c>
      <c r="F234" s="11" t="s">
        <v>1376</v>
      </c>
      <c r="G234" s="11" t="s">
        <v>233</v>
      </c>
      <c r="H234" s="11" t="s">
        <v>291</v>
      </c>
      <c r="I234" s="11" t="s">
        <v>292</v>
      </c>
      <c r="J234" s="15" t="s">
        <v>100</v>
      </c>
      <c r="K234" s="15" t="s">
        <v>101</v>
      </c>
      <c r="L234" s="15" t="n">
        <v>8</v>
      </c>
      <c r="M234" s="15" t="n">
        <v>17</v>
      </c>
      <c r="N234" s="11" t="str">
        <f aca="false">IF(M234&lt;=4,"R1 Foundation",IF(M234&lt;=8,"R2 Core Clinic",IF(M234&lt;=13,"R3 Revenue &amp; Messaging",IF(M234&lt;=18,"R4 Patient &amp; Platform",IF(M234&lt;=20,"R5 Harden","R6 Launch")))))</f>
        <v>R4 Patient &amp; Platform</v>
      </c>
      <c r="O234" s="16" t="n">
        <f aca="false">L234*README!$B$32</f>
        <v>4.8</v>
      </c>
      <c r="P234" s="11" t="s">
        <v>1377</v>
      </c>
      <c r="Q234" s="11" t="s">
        <v>1378</v>
      </c>
      <c r="R234" s="11" t="s">
        <v>103</v>
      </c>
      <c r="S234" s="11"/>
    </row>
    <row r="235" customFormat="false" ht="23.85" hidden="false" customHeight="false" outlineLevel="0" collapsed="false">
      <c r="A235" s="17" t="s">
        <v>1379</v>
      </c>
      <c r="B235" s="17" t="s">
        <v>1346</v>
      </c>
      <c r="C235" s="17" t="s">
        <v>1347</v>
      </c>
      <c r="D235" s="17" t="s">
        <v>1380</v>
      </c>
      <c r="E235" s="17" t="s">
        <v>1381</v>
      </c>
      <c r="F235" s="17" t="s">
        <v>1382</v>
      </c>
      <c r="G235" s="17" t="s">
        <v>233</v>
      </c>
      <c r="H235" s="17" t="s">
        <v>291</v>
      </c>
      <c r="I235" s="17" t="s">
        <v>292</v>
      </c>
      <c r="J235" s="18" t="s">
        <v>130</v>
      </c>
      <c r="K235" s="18" t="s">
        <v>211</v>
      </c>
      <c r="L235" s="18" t="n">
        <v>5</v>
      </c>
      <c r="M235" s="18" t="n">
        <v>18</v>
      </c>
      <c r="N235" s="17" t="str">
        <f aca="false">IF(M235&lt;=4,"R1 Foundation",IF(M235&lt;=8,"R2 Core Clinic",IF(M235&lt;=13,"R3 Revenue &amp; Messaging",IF(M235&lt;=18,"R4 Patient &amp; Platform",IF(M235&lt;=20,"R5 Harden","R6 Launch")))))</f>
        <v>R4 Patient &amp; Platform</v>
      </c>
      <c r="O235" s="19" t="n">
        <f aca="false">L235*README!$B$32</f>
        <v>3</v>
      </c>
      <c r="P235" s="17" t="s">
        <v>1345</v>
      </c>
      <c r="Q235" s="17" t="s">
        <v>1383</v>
      </c>
      <c r="R235" s="17" t="s">
        <v>103</v>
      </c>
      <c r="S235" s="17"/>
    </row>
    <row r="236" customFormat="false" ht="15" hidden="false" customHeight="false" outlineLevel="0" collapsed="false">
      <c r="A236" s="11" t="s">
        <v>1384</v>
      </c>
      <c r="B236" s="11" t="s">
        <v>1346</v>
      </c>
      <c r="C236" s="11" t="s">
        <v>1347</v>
      </c>
      <c r="D236" s="11" t="s">
        <v>1385</v>
      </c>
      <c r="E236" s="11" t="s">
        <v>1386</v>
      </c>
      <c r="F236" s="11" t="s">
        <v>1387</v>
      </c>
      <c r="G236" s="11" t="s">
        <v>399</v>
      </c>
      <c r="H236" s="11" t="s">
        <v>291</v>
      </c>
      <c r="I236" s="11" t="s">
        <v>292</v>
      </c>
      <c r="J236" s="15" t="s">
        <v>210</v>
      </c>
      <c r="K236" s="15" t="s">
        <v>211</v>
      </c>
      <c r="L236" s="15" t="n">
        <v>5</v>
      </c>
      <c r="M236" s="15" t="n">
        <v>19</v>
      </c>
      <c r="N236" s="11" t="str">
        <f aca="false">IF(M236&lt;=4,"R1 Foundation",IF(M236&lt;=8,"R2 Core Clinic",IF(M236&lt;=13,"R3 Revenue &amp; Messaging",IF(M236&lt;=18,"R4 Patient &amp; Platform",IF(M236&lt;=20,"R5 Harden","R6 Launch")))))</f>
        <v>R5 Harden</v>
      </c>
      <c r="O236" s="16" t="n">
        <f aca="false">L236*README!$B$32</f>
        <v>3</v>
      </c>
      <c r="P236" s="11" t="s">
        <v>1345</v>
      </c>
      <c r="Q236" s="11" t="s">
        <v>1388</v>
      </c>
      <c r="R236" s="11" t="s">
        <v>103</v>
      </c>
      <c r="S236" s="11"/>
    </row>
    <row r="237" customFormat="false" ht="35.05" hidden="false" customHeight="false" outlineLevel="0" collapsed="false">
      <c r="A237" s="17" t="s">
        <v>1389</v>
      </c>
      <c r="B237" s="17" t="s">
        <v>1346</v>
      </c>
      <c r="C237" s="17" t="s">
        <v>1347</v>
      </c>
      <c r="D237" s="17" t="s">
        <v>1390</v>
      </c>
      <c r="E237" s="17" t="s">
        <v>1391</v>
      </c>
      <c r="F237" s="17" t="s">
        <v>1392</v>
      </c>
      <c r="G237" s="17" t="s">
        <v>233</v>
      </c>
      <c r="H237" s="17" t="s">
        <v>291</v>
      </c>
      <c r="I237" s="17" t="s">
        <v>292</v>
      </c>
      <c r="J237" s="18" t="s">
        <v>130</v>
      </c>
      <c r="K237" s="18" t="s">
        <v>101</v>
      </c>
      <c r="L237" s="18" t="n">
        <v>5</v>
      </c>
      <c r="M237" s="18" t="n">
        <v>17</v>
      </c>
      <c r="N237" s="17" t="str">
        <f aca="false">IF(M237&lt;=4,"R1 Foundation",IF(M237&lt;=8,"R2 Core Clinic",IF(M237&lt;=13,"R3 Revenue &amp; Messaging",IF(M237&lt;=18,"R4 Patient &amp; Platform",IF(M237&lt;=20,"R5 Harden","R6 Launch")))))</f>
        <v>R4 Patient &amp; Platform</v>
      </c>
      <c r="O237" s="19" t="n">
        <f aca="false">L237*README!$B$32</f>
        <v>3</v>
      </c>
      <c r="P237" s="17" t="s">
        <v>1393</v>
      </c>
      <c r="Q237" s="17" t="s">
        <v>1394</v>
      </c>
      <c r="R237" s="17" t="s">
        <v>103</v>
      </c>
      <c r="S237" s="17"/>
    </row>
    <row r="238" customFormat="false" ht="23.85" hidden="false" customHeight="false" outlineLevel="0" collapsed="false">
      <c r="A238" s="11" t="s">
        <v>1395</v>
      </c>
      <c r="B238" s="11" t="s">
        <v>1346</v>
      </c>
      <c r="C238" s="11" t="s">
        <v>1347</v>
      </c>
      <c r="D238" s="11" t="s">
        <v>1396</v>
      </c>
      <c r="E238" s="11" t="s">
        <v>1397</v>
      </c>
      <c r="F238" s="11" t="s">
        <v>242</v>
      </c>
      <c r="G238" s="11" t="s">
        <v>233</v>
      </c>
      <c r="H238" s="11" t="s">
        <v>291</v>
      </c>
      <c r="I238" s="11" t="s">
        <v>292</v>
      </c>
      <c r="J238" s="15" t="s">
        <v>210</v>
      </c>
      <c r="K238" s="15" t="s">
        <v>211</v>
      </c>
      <c r="L238" s="15" t="n">
        <v>3</v>
      </c>
      <c r="M238" s="15" t="n">
        <v>19</v>
      </c>
      <c r="N238" s="11" t="str">
        <f aca="false">IF(M238&lt;=4,"R1 Foundation",IF(M238&lt;=8,"R2 Core Clinic",IF(M238&lt;=13,"R3 Revenue &amp; Messaging",IF(M238&lt;=18,"R4 Patient &amp; Platform",IF(M238&lt;=20,"R5 Harden","R6 Launch")))))</f>
        <v>R5 Harden</v>
      </c>
      <c r="O238" s="16" t="n">
        <f aca="false">L238*README!$B$32</f>
        <v>1.8</v>
      </c>
      <c r="P238" s="11" t="s">
        <v>1398</v>
      </c>
      <c r="Q238" s="11" t="s">
        <v>1399</v>
      </c>
      <c r="R238" s="11" t="s">
        <v>103</v>
      </c>
      <c r="S238" s="11"/>
    </row>
    <row r="239" customFormat="false" ht="23.85" hidden="false" customHeight="false" outlineLevel="0" collapsed="false">
      <c r="A239" s="17" t="s">
        <v>1400</v>
      </c>
      <c r="B239" s="17" t="s">
        <v>1401</v>
      </c>
      <c r="C239" s="17" t="s">
        <v>1402</v>
      </c>
      <c r="D239" s="17" t="s">
        <v>1403</v>
      </c>
      <c r="E239" s="17" t="s">
        <v>1404</v>
      </c>
      <c r="F239" s="17" t="s">
        <v>113</v>
      </c>
      <c r="G239" s="17" t="s">
        <v>98</v>
      </c>
      <c r="H239" s="17" t="s">
        <v>99</v>
      </c>
      <c r="I239" s="17" t="s">
        <v>114</v>
      </c>
      <c r="J239" s="18" t="s">
        <v>100</v>
      </c>
      <c r="K239" s="18" t="s">
        <v>101</v>
      </c>
      <c r="L239" s="18" t="n">
        <v>8</v>
      </c>
      <c r="M239" s="18" t="n">
        <v>7</v>
      </c>
      <c r="N239" s="17" t="str">
        <f aca="false">IF(M239&lt;=4,"R1 Foundation",IF(M239&lt;=8,"R2 Core Clinic",IF(M239&lt;=13,"R3 Revenue &amp; Messaging",IF(M239&lt;=18,"R4 Patient &amp; Platform",IF(M239&lt;=20,"R5 Harden","R6 Launch")))))</f>
        <v>R2 Core Clinic</v>
      </c>
      <c r="O239" s="19" t="n">
        <f aca="false">L239*README!$B$32</f>
        <v>4.8</v>
      </c>
      <c r="P239" s="17" t="s">
        <v>109</v>
      </c>
      <c r="Q239" s="17" t="s">
        <v>1405</v>
      </c>
      <c r="R239" s="17" t="s">
        <v>103</v>
      </c>
      <c r="S239" s="17"/>
    </row>
    <row r="240" customFormat="false" ht="23.85" hidden="false" customHeight="false" outlineLevel="0" collapsed="false">
      <c r="A240" s="11" t="s">
        <v>1406</v>
      </c>
      <c r="B240" s="11" t="s">
        <v>1401</v>
      </c>
      <c r="C240" s="11" t="s">
        <v>1402</v>
      </c>
      <c r="D240" s="11" t="s">
        <v>1407</v>
      </c>
      <c r="E240" s="11" t="s">
        <v>1408</v>
      </c>
      <c r="F240" s="11" t="s">
        <v>1409</v>
      </c>
      <c r="G240" s="11" t="s">
        <v>233</v>
      </c>
      <c r="H240" s="11" t="s">
        <v>291</v>
      </c>
      <c r="I240" s="11" t="s">
        <v>168</v>
      </c>
      <c r="J240" s="15" t="s">
        <v>100</v>
      </c>
      <c r="K240" s="15" t="s">
        <v>101</v>
      </c>
      <c r="L240" s="15" t="n">
        <v>5</v>
      </c>
      <c r="M240" s="15" t="n">
        <v>14</v>
      </c>
      <c r="N240" s="11" t="str">
        <f aca="false">IF(M240&lt;=4,"R1 Foundation",IF(M240&lt;=8,"R2 Core Clinic",IF(M240&lt;=13,"R3 Revenue &amp; Messaging",IF(M240&lt;=18,"R4 Patient &amp; Platform",IF(M240&lt;=20,"R5 Harden","R6 Launch")))))</f>
        <v>R4 Patient &amp; Platform</v>
      </c>
      <c r="O240" s="16" t="n">
        <f aca="false">L240*README!$B$32</f>
        <v>3</v>
      </c>
      <c r="P240" s="11" t="s">
        <v>1400</v>
      </c>
      <c r="Q240" s="11" t="s">
        <v>1410</v>
      </c>
      <c r="R240" s="11" t="s">
        <v>103</v>
      </c>
      <c r="S240" s="11"/>
    </row>
    <row r="241" customFormat="false" ht="23.85" hidden="false" customHeight="false" outlineLevel="0" collapsed="false">
      <c r="A241" s="17" t="s">
        <v>439</v>
      </c>
      <c r="B241" s="17" t="s">
        <v>1401</v>
      </c>
      <c r="C241" s="17" t="s">
        <v>1402</v>
      </c>
      <c r="D241" s="17" t="s">
        <v>1411</v>
      </c>
      <c r="E241" s="17" t="s">
        <v>1412</v>
      </c>
      <c r="F241" s="17" t="s">
        <v>1413</v>
      </c>
      <c r="G241" s="17" t="s">
        <v>142</v>
      </c>
      <c r="H241" s="17" t="s">
        <v>99</v>
      </c>
      <c r="I241" s="17" t="s">
        <v>292</v>
      </c>
      <c r="J241" s="18" t="s">
        <v>100</v>
      </c>
      <c r="K241" s="18" t="s">
        <v>101</v>
      </c>
      <c r="L241" s="18" t="n">
        <v>8</v>
      </c>
      <c r="M241" s="18" t="n">
        <v>10</v>
      </c>
      <c r="N241" s="17" t="str">
        <f aca="false">IF(M241&lt;=4,"R1 Foundation",IF(M241&lt;=8,"R2 Core Clinic",IF(M241&lt;=13,"R3 Revenue &amp; Messaging",IF(M241&lt;=18,"R4 Patient &amp; Platform",IF(M241&lt;=20,"R5 Harden","R6 Launch")))))</f>
        <v>R3 Revenue &amp; Messaging</v>
      </c>
      <c r="O241" s="19" t="n">
        <f aca="false">L241*README!$B$32</f>
        <v>4.8</v>
      </c>
      <c r="P241" s="17" t="s">
        <v>1414</v>
      </c>
      <c r="Q241" s="17" t="s">
        <v>1415</v>
      </c>
      <c r="R241" s="17" t="s">
        <v>103</v>
      </c>
      <c r="S241" s="17"/>
    </row>
    <row r="242" customFormat="false" ht="23.85" hidden="false" customHeight="false" outlineLevel="0" collapsed="false">
      <c r="A242" s="11" t="s">
        <v>1416</v>
      </c>
      <c r="B242" s="11" t="s">
        <v>1401</v>
      </c>
      <c r="C242" s="11" t="s">
        <v>1402</v>
      </c>
      <c r="D242" s="11" t="s">
        <v>1417</v>
      </c>
      <c r="E242" s="11" t="s">
        <v>1418</v>
      </c>
      <c r="F242" s="11" t="s">
        <v>1419</v>
      </c>
      <c r="G242" s="11" t="s">
        <v>233</v>
      </c>
      <c r="H242" s="11" t="s">
        <v>99</v>
      </c>
      <c r="I242" s="11" t="s">
        <v>292</v>
      </c>
      <c r="J242" s="15" t="s">
        <v>100</v>
      </c>
      <c r="K242" s="15" t="s">
        <v>101</v>
      </c>
      <c r="L242" s="15" t="n">
        <v>8</v>
      </c>
      <c r="M242" s="15" t="n">
        <v>13</v>
      </c>
      <c r="N242" s="11" t="str">
        <f aca="false">IF(M242&lt;=4,"R1 Foundation",IF(M242&lt;=8,"R2 Core Clinic",IF(M242&lt;=13,"R3 Revenue &amp; Messaging",IF(M242&lt;=18,"R4 Patient &amp; Platform",IF(M242&lt;=20,"R5 Harden","R6 Launch")))))</f>
        <v>R3 Revenue &amp; Messaging</v>
      </c>
      <c r="O242" s="16" t="n">
        <f aca="false">L242*README!$B$32</f>
        <v>4.8</v>
      </c>
      <c r="P242" s="11" t="s">
        <v>1420</v>
      </c>
      <c r="Q242" s="11" t="s">
        <v>1421</v>
      </c>
      <c r="R242" s="11" t="s">
        <v>103</v>
      </c>
      <c r="S242" s="11"/>
    </row>
    <row r="243" customFormat="false" ht="23.85" hidden="false" customHeight="false" outlineLevel="0" collapsed="false">
      <c r="A243" s="17" t="s">
        <v>1422</v>
      </c>
      <c r="B243" s="17" t="s">
        <v>1401</v>
      </c>
      <c r="C243" s="17" t="s">
        <v>1402</v>
      </c>
      <c r="D243" s="17" t="s">
        <v>1423</v>
      </c>
      <c r="E243" s="17" t="s">
        <v>1424</v>
      </c>
      <c r="F243" s="17" t="s">
        <v>1425</v>
      </c>
      <c r="G243" s="17" t="s">
        <v>142</v>
      </c>
      <c r="H243" s="17" t="s">
        <v>99</v>
      </c>
      <c r="I243" s="17" t="s">
        <v>114</v>
      </c>
      <c r="J243" s="18" t="s">
        <v>100</v>
      </c>
      <c r="K243" s="18" t="s">
        <v>101</v>
      </c>
      <c r="L243" s="18" t="n">
        <v>8</v>
      </c>
      <c r="M243" s="18" t="n">
        <v>13</v>
      </c>
      <c r="N243" s="17" t="str">
        <f aca="false">IF(M243&lt;=4,"R1 Foundation",IF(M243&lt;=8,"R2 Core Clinic",IF(M243&lt;=13,"R3 Revenue &amp; Messaging",IF(M243&lt;=18,"R4 Patient &amp; Platform",IF(M243&lt;=20,"R5 Harden","R6 Launch")))))</f>
        <v>R3 Revenue &amp; Messaging</v>
      </c>
      <c r="O243" s="19" t="n">
        <f aca="false">L243*README!$B$32</f>
        <v>4.8</v>
      </c>
      <c r="P243" s="17" t="s">
        <v>1426</v>
      </c>
      <c r="Q243" s="17" t="s">
        <v>1427</v>
      </c>
      <c r="R243" s="17" t="s">
        <v>103</v>
      </c>
      <c r="S243" s="17"/>
    </row>
    <row r="244" customFormat="false" ht="23.85" hidden="false" customHeight="false" outlineLevel="0" collapsed="false">
      <c r="A244" s="11" t="s">
        <v>1428</v>
      </c>
      <c r="B244" s="11" t="s">
        <v>1401</v>
      </c>
      <c r="C244" s="11" t="s">
        <v>1402</v>
      </c>
      <c r="D244" s="11" t="s">
        <v>1429</v>
      </c>
      <c r="E244" s="11" t="s">
        <v>1430</v>
      </c>
      <c r="F244" s="11" t="s">
        <v>1431</v>
      </c>
      <c r="G244" s="11" t="s">
        <v>955</v>
      </c>
      <c r="H244" s="11" t="s">
        <v>99</v>
      </c>
      <c r="I244" s="11" t="s">
        <v>292</v>
      </c>
      <c r="J244" s="15" t="s">
        <v>100</v>
      </c>
      <c r="K244" s="15" t="s">
        <v>101</v>
      </c>
      <c r="L244" s="15" t="n">
        <v>8</v>
      </c>
      <c r="M244" s="15" t="n">
        <v>15</v>
      </c>
      <c r="N244" s="11" t="str">
        <f aca="false">IF(M244&lt;=4,"R1 Foundation",IF(M244&lt;=8,"R2 Core Clinic",IF(M244&lt;=13,"R3 Revenue &amp; Messaging",IF(M244&lt;=18,"R4 Patient &amp; Platform",IF(M244&lt;=20,"R5 Harden","R6 Launch")))))</f>
        <v>R4 Patient &amp; Platform</v>
      </c>
      <c r="O244" s="16" t="n">
        <f aca="false">L244*README!$B$32</f>
        <v>4.8</v>
      </c>
      <c r="P244" s="11" t="s">
        <v>1422</v>
      </c>
      <c r="Q244" s="11" t="s">
        <v>1432</v>
      </c>
      <c r="R244" s="11" t="s">
        <v>103</v>
      </c>
      <c r="S244" s="11"/>
    </row>
    <row r="245" customFormat="false" ht="23.85" hidden="false" customHeight="false" outlineLevel="0" collapsed="false">
      <c r="A245" s="17" t="s">
        <v>1433</v>
      </c>
      <c r="B245" s="17" t="s">
        <v>1401</v>
      </c>
      <c r="C245" s="17" t="s">
        <v>1402</v>
      </c>
      <c r="D245" s="17" t="s">
        <v>1434</v>
      </c>
      <c r="E245" s="17" t="s">
        <v>1435</v>
      </c>
      <c r="F245" s="17" t="s">
        <v>1436</v>
      </c>
      <c r="G245" s="17" t="s">
        <v>142</v>
      </c>
      <c r="H245" s="17" t="s">
        <v>99</v>
      </c>
      <c r="I245" s="17" t="s">
        <v>292</v>
      </c>
      <c r="J245" s="18" t="s">
        <v>100</v>
      </c>
      <c r="K245" s="18" t="s">
        <v>101</v>
      </c>
      <c r="L245" s="18" t="n">
        <v>8</v>
      </c>
      <c r="M245" s="18" t="n">
        <v>16</v>
      </c>
      <c r="N245" s="17" t="str">
        <f aca="false">IF(M245&lt;=4,"R1 Foundation",IF(M245&lt;=8,"R2 Core Clinic",IF(M245&lt;=13,"R3 Revenue &amp; Messaging",IF(M245&lt;=18,"R4 Patient &amp; Platform",IF(M245&lt;=20,"R5 Harden","R6 Launch")))))</f>
        <v>R4 Patient &amp; Platform</v>
      </c>
      <c r="O245" s="19" t="n">
        <f aca="false">L245*README!$B$32</f>
        <v>4.8</v>
      </c>
      <c r="P245" s="17" t="s">
        <v>1437</v>
      </c>
      <c r="Q245" s="17" t="s">
        <v>1438</v>
      </c>
      <c r="R245" s="17" t="s">
        <v>103</v>
      </c>
      <c r="S245" s="17"/>
    </row>
    <row r="246" customFormat="false" ht="23.85" hidden="false" customHeight="false" outlineLevel="0" collapsed="false">
      <c r="A246" s="11" t="s">
        <v>1439</v>
      </c>
      <c r="B246" s="11" t="s">
        <v>1401</v>
      </c>
      <c r="C246" s="11" t="s">
        <v>1402</v>
      </c>
      <c r="D246" s="11" t="s">
        <v>1440</v>
      </c>
      <c r="E246" s="11" t="s">
        <v>1441</v>
      </c>
      <c r="F246" s="11" t="s">
        <v>1442</v>
      </c>
      <c r="G246" s="11" t="s">
        <v>233</v>
      </c>
      <c r="H246" s="11" t="s">
        <v>99</v>
      </c>
      <c r="I246" s="11" t="s">
        <v>114</v>
      </c>
      <c r="J246" s="15" t="s">
        <v>100</v>
      </c>
      <c r="K246" s="15" t="s">
        <v>101</v>
      </c>
      <c r="L246" s="15" t="n">
        <v>8</v>
      </c>
      <c r="M246" s="15" t="n">
        <v>15</v>
      </c>
      <c r="N246" s="11" t="str">
        <f aca="false">IF(M246&lt;=4,"R1 Foundation",IF(M246&lt;=8,"R2 Core Clinic",IF(M246&lt;=13,"R3 Revenue &amp; Messaging",IF(M246&lt;=18,"R4 Patient &amp; Platform",IF(M246&lt;=20,"R5 Harden","R6 Launch")))))</f>
        <v>R4 Patient &amp; Platform</v>
      </c>
      <c r="O246" s="16" t="n">
        <f aca="false">L246*README!$B$32</f>
        <v>4.8</v>
      </c>
      <c r="P246" s="11" t="s">
        <v>1443</v>
      </c>
      <c r="Q246" s="11" t="s">
        <v>1444</v>
      </c>
      <c r="R246" s="11" t="s">
        <v>103</v>
      </c>
      <c r="S246" s="11"/>
    </row>
    <row r="247" customFormat="false" ht="23.85" hidden="false" customHeight="false" outlineLevel="0" collapsed="false">
      <c r="A247" s="17" t="s">
        <v>1445</v>
      </c>
      <c r="B247" s="17" t="s">
        <v>1401</v>
      </c>
      <c r="C247" s="17" t="s">
        <v>1402</v>
      </c>
      <c r="D247" s="17" t="s">
        <v>1446</v>
      </c>
      <c r="E247" s="17" t="s">
        <v>1447</v>
      </c>
      <c r="F247" s="17" t="s">
        <v>1448</v>
      </c>
      <c r="G247" s="17" t="s">
        <v>142</v>
      </c>
      <c r="H247" s="17" t="s">
        <v>99</v>
      </c>
      <c r="I247" s="17" t="s">
        <v>114</v>
      </c>
      <c r="J247" s="18" t="s">
        <v>130</v>
      </c>
      <c r="K247" s="18" t="s">
        <v>211</v>
      </c>
      <c r="L247" s="18" t="n">
        <v>8</v>
      </c>
      <c r="M247" s="18" t="n">
        <v>20</v>
      </c>
      <c r="N247" s="17" t="str">
        <f aca="false">IF(M247&lt;=4,"R1 Foundation",IF(M247&lt;=8,"R2 Core Clinic",IF(M247&lt;=13,"R3 Revenue &amp; Messaging",IF(M247&lt;=18,"R4 Patient &amp; Platform",IF(M247&lt;=20,"R5 Harden","R6 Launch")))))</f>
        <v>R5 Harden</v>
      </c>
      <c r="O247" s="19" t="n">
        <f aca="false">L247*README!$B$32</f>
        <v>4.8</v>
      </c>
      <c r="P247" s="17" t="s">
        <v>1439</v>
      </c>
      <c r="Q247" s="17" t="s">
        <v>1449</v>
      </c>
      <c r="R247" s="17" t="s">
        <v>103</v>
      </c>
      <c r="S247" s="17"/>
    </row>
    <row r="248" customFormat="false" ht="23.85" hidden="false" customHeight="false" outlineLevel="0" collapsed="false">
      <c r="A248" s="11" t="s">
        <v>1450</v>
      </c>
      <c r="B248" s="11" t="s">
        <v>1401</v>
      </c>
      <c r="C248" s="11" t="s">
        <v>1402</v>
      </c>
      <c r="D248" s="11" t="s">
        <v>1451</v>
      </c>
      <c r="E248" s="11" t="s">
        <v>1452</v>
      </c>
      <c r="F248" s="11" t="s">
        <v>1453</v>
      </c>
      <c r="G248" s="11" t="s">
        <v>233</v>
      </c>
      <c r="H248" s="11" t="s">
        <v>99</v>
      </c>
      <c r="I248" s="11" t="s">
        <v>114</v>
      </c>
      <c r="J248" s="15" t="s">
        <v>100</v>
      </c>
      <c r="K248" s="15" t="s">
        <v>101</v>
      </c>
      <c r="L248" s="15" t="n">
        <v>5</v>
      </c>
      <c r="M248" s="15" t="n">
        <v>16</v>
      </c>
      <c r="N248" s="11" t="str">
        <f aca="false">IF(M248&lt;=4,"R1 Foundation",IF(M248&lt;=8,"R2 Core Clinic",IF(M248&lt;=13,"R3 Revenue &amp; Messaging",IF(M248&lt;=18,"R4 Patient &amp; Platform",IF(M248&lt;=20,"R5 Harden","R6 Launch")))))</f>
        <v>R4 Patient &amp; Platform</v>
      </c>
      <c r="O248" s="16" t="n">
        <f aca="false">L248*README!$B$32</f>
        <v>3</v>
      </c>
      <c r="P248" s="11" t="s">
        <v>1439</v>
      </c>
      <c r="Q248" s="11" t="s">
        <v>1454</v>
      </c>
      <c r="R248" s="11" t="s">
        <v>103</v>
      </c>
      <c r="S248" s="11"/>
    </row>
    <row r="249" customFormat="false" ht="23.85" hidden="false" customHeight="false" outlineLevel="0" collapsed="false">
      <c r="A249" s="17" t="s">
        <v>1455</v>
      </c>
      <c r="B249" s="17" t="s">
        <v>1401</v>
      </c>
      <c r="C249" s="17" t="s">
        <v>1402</v>
      </c>
      <c r="D249" s="17" t="s">
        <v>1456</v>
      </c>
      <c r="E249" s="17" t="s">
        <v>1457</v>
      </c>
      <c r="F249" s="17" t="s">
        <v>1458</v>
      </c>
      <c r="G249" s="17" t="s">
        <v>233</v>
      </c>
      <c r="H249" s="17" t="s">
        <v>99</v>
      </c>
      <c r="I249" s="17" t="s">
        <v>1402</v>
      </c>
      <c r="J249" s="18" t="s">
        <v>100</v>
      </c>
      <c r="K249" s="18" t="s">
        <v>101</v>
      </c>
      <c r="L249" s="18" t="n">
        <v>5</v>
      </c>
      <c r="M249" s="18" t="n">
        <v>17</v>
      </c>
      <c r="N249" s="17" t="str">
        <f aca="false">IF(M249&lt;=4,"R1 Foundation",IF(M249&lt;=8,"R2 Core Clinic",IF(M249&lt;=13,"R3 Revenue &amp; Messaging",IF(M249&lt;=18,"R4 Patient &amp; Platform",IF(M249&lt;=20,"R5 Harden","R6 Launch")))))</f>
        <v>R4 Patient &amp; Platform</v>
      </c>
      <c r="O249" s="19" t="n">
        <f aca="false">L249*README!$B$32</f>
        <v>3</v>
      </c>
      <c r="P249" s="17" t="s">
        <v>1459</v>
      </c>
      <c r="Q249" s="17" t="s">
        <v>1460</v>
      </c>
      <c r="R249" s="17" t="s">
        <v>103</v>
      </c>
      <c r="S249" s="17"/>
    </row>
    <row r="250" customFormat="false" ht="23.85" hidden="false" customHeight="false" outlineLevel="0" collapsed="false">
      <c r="A250" s="11" t="s">
        <v>1461</v>
      </c>
      <c r="B250" s="11" t="s">
        <v>1401</v>
      </c>
      <c r="C250" s="11" t="s">
        <v>1402</v>
      </c>
      <c r="D250" s="11" t="s">
        <v>1462</v>
      </c>
      <c r="E250" s="11" t="s">
        <v>1463</v>
      </c>
      <c r="F250" s="11" t="s">
        <v>1464</v>
      </c>
      <c r="G250" s="11" t="s">
        <v>107</v>
      </c>
      <c r="H250" s="11" t="s">
        <v>107</v>
      </c>
      <c r="I250" s="11" t="s">
        <v>292</v>
      </c>
      <c r="J250" s="15" t="s">
        <v>100</v>
      </c>
      <c r="K250" s="15" t="s">
        <v>101</v>
      </c>
      <c r="L250" s="15" t="n">
        <v>5</v>
      </c>
      <c r="M250" s="15" t="n">
        <v>18</v>
      </c>
      <c r="N250" s="11" t="str">
        <f aca="false">IF(M250&lt;=4,"R1 Foundation",IF(M250&lt;=8,"R2 Core Clinic",IF(M250&lt;=13,"R3 Revenue &amp; Messaging",IF(M250&lt;=18,"R4 Patient &amp; Platform",IF(M250&lt;=20,"R5 Harden","R6 Launch")))))</f>
        <v>R4 Patient &amp; Platform</v>
      </c>
      <c r="O250" s="16" t="n">
        <f aca="false">L250*README!$B$32</f>
        <v>3</v>
      </c>
      <c r="P250" s="11" t="s">
        <v>1465</v>
      </c>
      <c r="Q250" s="11" t="s">
        <v>1466</v>
      </c>
      <c r="R250" s="11" t="s">
        <v>103</v>
      </c>
      <c r="S250" s="11"/>
    </row>
    <row r="251" customFormat="false" ht="23.85" hidden="false" customHeight="false" outlineLevel="0" collapsed="false">
      <c r="A251" s="17" t="s">
        <v>1467</v>
      </c>
      <c r="B251" s="17" t="s">
        <v>1401</v>
      </c>
      <c r="C251" s="17" t="s">
        <v>1402</v>
      </c>
      <c r="D251" s="17" t="s">
        <v>1468</v>
      </c>
      <c r="E251" s="17" t="s">
        <v>1469</v>
      </c>
      <c r="F251" s="17" t="s">
        <v>1470</v>
      </c>
      <c r="G251" s="17" t="s">
        <v>233</v>
      </c>
      <c r="H251" s="17" t="s">
        <v>291</v>
      </c>
      <c r="I251" s="17" t="s">
        <v>292</v>
      </c>
      <c r="J251" s="18" t="s">
        <v>100</v>
      </c>
      <c r="K251" s="18" t="s">
        <v>101</v>
      </c>
      <c r="L251" s="18" t="n">
        <v>8</v>
      </c>
      <c r="M251" s="18" t="n">
        <v>14</v>
      </c>
      <c r="N251" s="17" t="str">
        <f aca="false">IF(M251&lt;=4,"R1 Foundation",IF(M251&lt;=8,"R2 Core Clinic",IF(M251&lt;=13,"R3 Revenue &amp; Messaging",IF(M251&lt;=18,"R4 Patient &amp; Platform",IF(M251&lt;=20,"R5 Harden","R6 Launch")))))</f>
        <v>R4 Patient &amp; Platform</v>
      </c>
      <c r="O251" s="19" t="n">
        <f aca="false">L251*README!$B$32</f>
        <v>4.8</v>
      </c>
      <c r="P251" s="17" t="s">
        <v>1471</v>
      </c>
      <c r="Q251" s="17" t="s">
        <v>1472</v>
      </c>
      <c r="R251" s="17" t="s">
        <v>103</v>
      </c>
      <c r="S251" s="17"/>
    </row>
    <row r="252" customFormat="false" ht="23.85" hidden="false" customHeight="false" outlineLevel="0" collapsed="false">
      <c r="A252" s="11" t="s">
        <v>1473</v>
      </c>
      <c r="B252" s="11" t="s">
        <v>1401</v>
      </c>
      <c r="C252" s="11" t="s">
        <v>1402</v>
      </c>
      <c r="D252" s="11" t="s">
        <v>1474</v>
      </c>
      <c r="E252" s="11" t="s">
        <v>1475</v>
      </c>
      <c r="F252" s="11" t="s">
        <v>1476</v>
      </c>
      <c r="G252" s="11" t="s">
        <v>233</v>
      </c>
      <c r="H252" s="11" t="s">
        <v>291</v>
      </c>
      <c r="I252" s="11" t="s">
        <v>168</v>
      </c>
      <c r="J252" s="15" t="s">
        <v>130</v>
      </c>
      <c r="K252" s="15" t="s">
        <v>211</v>
      </c>
      <c r="L252" s="15" t="n">
        <v>5</v>
      </c>
      <c r="M252" s="15" t="n">
        <v>19</v>
      </c>
      <c r="N252" s="11" t="str">
        <f aca="false">IF(M252&lt;=4,"R1 Foundation",IF(M252&lt;=8,"R2 Core Clinic",IF(M252&lt;=13,"R3 Revenue &amp; Messaging",IF(M252&lt;=18,"R4 Patient &amp; Platform",IF(M252&lt;=20,"R5 Harden","R6 Launch")))))</f>
        <v>R5 Harden</v>
      </c>
      <c r="O252" s="16" t="n">
        <f aca="false">L252*README!$B$32</f>
        <v>3</v>
      </c>
      <c r="P252" s="11" t="s">
        <v>1477</v>
      </c>
      <c r="Q252" s="11" t="s">
        <v>1478</v>
      </c>
      <c r="R252" s="11" t="s">
        <v>103</v>
      </c>
      <c r="S252" s="11"/>
    </row>
    <row r="253" customFormat="false" ht="23.85" hidden="false" customHeight="false" outlineLevel="0" collapsed="false">
      <c r="A253" s="17" t="s">
        <v>1479</v>
      </c>
      <c r="B253" s="17" t="s">
        <v>1401</v>
      </c>
      <c r="C253" s="17" t="s">
        <v>1402</v>
      </c>
      <c r="D253" s="17" t="s">
        <v>1480</v>
      </c>
      <c r="E253" s="17" t="s">
        <v>1481</v>
      </c>
      <c r="F253" s="17" t="s">
        <v>586</v>
      </c>
      <c r="G253" s="17" t="s">
        <v>98</v>
      </c>
      <c r="H253" s="17" t="s">
        <v>99</v>
      </c>
      <c r="I253" s="17" t="s">
        <v>114</v>
      </c>
      <c r="J253" s="18" t="s">
        <v>100</v>
      </c>
      <c r="K253" s="18" t="s">
        <v>101</v>
      </c>
      <c r="L253" s="18" t="n">
        <v>5</v>
      </c>
      <c r="M253" s="18" t="n">
        <v>14</v>
      </c>
      <c r="N253" s="17" t="str">
        <f aca="false">IF(M253&lt;=4,"R1 Foundation",IF(M253&lt;=8,"R2 Core Clinic",IF(M253&lt;=13,"R3 Revenue &amp; Messaging",IF(M253&lt;=18,"R4 Patient &amp; Platform",IF(M253&lt;=20,"R5 Harden","R6 Launch")))))</f>
        <v>R4 Patient &amp; Platform</v>
      </c>
      <c r="O253" s="19" t="n">
        <f aca="false">L253*README!$B$32</f>
        <v>3</v>
      </c>
      <c r="P253" s="17" t="s">
        <v>381</v>
      </c>
      <c r="Q253" s="17" t="s">
        <v>1482</v>
      </c>
      <c r="R253" s="17" t="s">
        <v>103</v>
      </c>
      <c r="S253" s="17"/>
    </row>
    <row r="254" customFormat="false" ht="23.85" hidden="false" customHeight="false" outlineLevel="0" collapsed="false">
      <c r="A254" s="11" t="s">
        <v>1483</v>
      </c>
      <c r="B254" s="11" t="s">
        <v>1401</v>
      </c>
      <c r="C254" s="11" t="s">
        <v>1402</v>
      </c>
      <c r="D254" s="11" t="s">
        <v>1484</v>
      </c>
      <c r="E254" s="11" t="s">
        <v>1485</v>
      </c>
      <c r="F254" s="11" t="s">
        <v>1486</v>
      </c>
      <c r="G254" s="11" t="s">
        <v>142</v>
      </c>
      <c r="H254" s="11" t="s">
        <v>99</v>
      </c>
      <c r="I254" s="11" t="s">
        <v>1402</v>
      </c>
      <c r="J254" s="15" t="s">
        <v>100</v>
      </c>
      <c r="K254" s="15" t="s">
        <v>101</v>
      </c>
      <c r="L254" s="15" t="n">
        <v>8</v>
      </c>
      <c r="M254" s="15" t="n">
        <v>17</v>
      </c>
      <c r="N254" s="11" t="str">
        <f aca="false">IF(M254&lt;=4,"R1 Foundation",IF(M254&lt;=8,"R2 Core Clinic",IF(M254&lt;=13,"R3 Revenue &amp; Messaging",IF(M254&lt;=18,"R4 Patient &amp; Platform",IF(M254&lt;=20,"R5 Harden","R6 Launch")))))</f>
        <v>R4 Patient &amp; Platform</v>
      </c>
      <c r="O254" s="16" t="n">
        <f aca="false">L254*README!$B$32</f>
        <v>4.8</v>
      </c>
      <c r="P254" s="11" t="s">
        <v>1487</v>
      </c>
      <c r="Q254" s="11" t="s">
        <v>1488</v>
      </c>
      <c r="R254" s="11" t="s">
        <v>103</v>
      </c>
      <c r="S254" s="11"/>
    </row>
    <row r="255" customFormat="false" ht="23.85" hidden="false" customHeight="false" outlineLevel="0" collapsed="false">
      <c r="A255" s="17" t="s">
        <v>1489</v>
      </c>
      <c r="B255" s="17" t="s">
        <v>1401</v>
      </c>
      <c r="C255" s="17" t="s">
        <v>1402</v>
      </c>
      <c r="D255" s="17" t="s">
        <v>1490</v>
      </c>
      <c r="E255" s="17" t="s">
        <v>1491</v>
      </c>
      <c r="F255" s="17" t="s">
        <v>1492</v>
      </c>
      <c r="G255" s="17" t="s">
        <v>142</v>
      </c>
      <c r="H255" s="17" t="s">
        <v>99</v>
      </c>
      <c r="I255" s="17" t="s">
        <v>1402</v>
      </c>
      <c r="J255" s="18" t="s">
        <v>100</v>
      </c>
      <c r="K255" s="18" t="s">
        <v>101</v>
      </c>
      <c r="L255" s="18" t="n">
        <v>8</v>
      </c>
      <c r="M255" s="18" t="n">
        <v>17</v>
      </c>
      <c r="N255" s="17" t="str">
        <f aca="false">IF(M255&lt;=4,"R1 Foundation",IF(M255&lt;=8,"R2 Core Clinic",IF(M255&lt;=13,"R3 Revenue &amp; Messaging",IF(M255&lt;=18,"R4 Patient &amp; Platform",IF(M255&lt;=20,"R5 Harden","R6 Launch")))))</f>
        <v>R4 Patient &amp; Platform</v>
      </c>
      <c r="O255" s="19" t="n">
        <f aca="false">L255*README!$B$32</f>
        <v>4.8</v>
      </c>
      <c r="P255" s="17" t="s">
        <v>1493</v>
      </c>
      <c r="Q255" s="17" t="s">
        <v>1494</v>
      </c>
      <c r="R255" s="17" t="s">
        <v>103</v>
      </c>
      <c r="S255" s="17"/>
    </row>
    <row r="256" customFormat="false" ht="23.85" hidden="false" customHeight="false" outlineLevel="0" collapsed="false">
      <c r="A256" s="11" t="s">
        <v>1495</v>
      </c>
      <c r="B256" s="11" t="s">
        <v>1401</v>
      </c>
      <c r="C256" s="11" t="s">
        <v>1402</v>
      </c>
      <c r="D256" s="11" t="s">
        <v>1496</v>
      </c>
      <c r="E256" s="11" t="s">
        <v>1497</v>
      </c>
      <c r="F256" s="11"/>
      <c r="G256" s="11" t="s">
        <v>98</v>
      </c>
      <c r="H256" s="11" t="s">
        <v>99</v>
      </c>
      <c r="I256" s="11" t="s">
        <v>1402</v>
      </c>
      <c r="J256" s="15" t="s">
        <v>100</v>
      </c>
      <c r="K256" s="15" t="s">
        <v>101</v>
      </c>
      <c r="L256" s="15" t="n">
        <v>3</v>
      </c>
      <c r="M256" s="15" t="n">
        <v>6</v>
      </c>
      <c r="N256" s="11" t="str">
        <f aca="false">IF(M256&lt;=4,"R1 Foundation",IF(M256&lt;=8,"R2 Core Clinic",IF(M256&lt;=13,"R3 Revenue &amp; Messaging",IF(M256&lt;=18,"R4 Patient &amp; Platform",IF(M256&lt;=20,"R5 Harden","R6 Launch")))))</f>
        <v>R2 Core Clinic</v>
      </c>
      <c r="O256" s="16" t="n">
        <f aca="false">L256*README!$B$32</f>
        <v>1.8</v>
      </c>
      <c r="P256" s="11" t="s">
        <v>109</v>
      </c>
      <c r="Q256" s="11" t="s">
        <v>1498</v>
      </c>
      <c r="R256" s="11" t="s">
        <v>103</v>
      </c>
      <c r="S256" s="11"/>
    </row>
    <row r="257" customFormat="false" ht="23.85" hidden="false" customHeight="false" outlineLevel="0" collapsed="false">
      <c r="A257" s="17" t="s">
        <v>1499</v>
      </c>
      <c r="B257" s="17" t="s">
        <v>1401</v>
      </c>
      <c r="C257" s="17" t="s">
        <v>1402</v>
      </c>
      <c r="D257" s="17" t="s">
        <v>1500</v>
      </c>
      <c r="E257" s="17" t="s">
        <v>1501</v>
      </c>
      <c r="F257" s="17" t="s">
        <v>1502</v>
      </c>
      <c r="G257" s="17" t="s">
        <v>107</v>
      </c>
      <c r="H257" s="17" t="s">
        <v>107</v>
      </c>
      <c r="I257" s="17" t="s">
        <v>1402</v>
      </c>
      <c r="J257" s="18" t="s">
        <v>130</v>
      </c>
      <c r="K257" s="18" t="s">
        <v>211</v>
      </c>
      <c r="L257" s="18" t="n">
        <v>5</v>
      </c>
      <c r="M257" s="18" t="n">
        <v>20</v>
      </c>
      <c r="N257" s="17" t="str">
        <f aca="false">IF(M257&lt;=4,"R1 Foundation",IF(M257&lt;=8,"R2 Core Clinic",IF(M257&lt;=13,"R3 Revenue &amp; Messaging",IF(M257&lt;=18,"R4 Patient &amp; Platform",IF(M257&lt;=20,"R5 Harden","R6 Launch")))))</f>
        <v>R5 Harden</v>
      </c>
      <c r="O257" s="19" t="n">
        <f aca="false">L257*README!$B$32</f>
        <v>3</v>
      </c>
      <c r="P257" s="17" t="s">
        <v>1503</v>
      </c>
      <c r="Q257" s="17" t="s">
        <v>1504</v>
      </c>
      <c r="R257" s="17" t="s">
        <v>103</v>
      </c>
      <c r="S257" s="17"/>
    </row>
    <row r="258" customFormat="false" ht="35.05" hidden="false" customHeight="false" outlineLevel="0" collapsed="false">
      <c r="A258" s="11" t="s">
        <v>1505</v>
      </c>
      <c r="B258" s="11" t="s">
        <v>1506</v>
      </c>
      <c r="C258" s="11" t="s">
        <v>107</v>
      </c>
      <c r="D258" s="11" t="s">
        <v>1507</v>
      </c>
      <c r="E258" s="11" t="s">
        <v>1508</v>
      </c>
      <c r="F258" s="11" t="s">
        <v>189</v>
      </c>
      <c r="G258" s="11" t="s">
        <v>107</v>
      </c>
      <c r="H258" s="11" t="s">
        <v>107</v>
      </c>
      <c r="I258" s="11" t="s">
        <v>114</v>
      </c>
      <c r="J258" s="15" t="s">
        <v>100</v>
      </c>
      <c r="K258" s="15" t="s">
        <v>101</v>
      </c>
      <c r="L258" s="15" t="n">
        <v>8</v>
      </c>
      <c r="M258" s="15" t="n">
        <v>6</v>
      </c>
      <c r="N258" s="11" t="str">
        <f aca="false">IF(M258&lt;=4,"R1 Foundation",IF(M258&lt;=8,"R2 Core Clinic",IF(M258&lt;=13,"R3 Revenue &amp; Messaging",IF(M258&lt;=18,"R4 Patient &amp; Platform",IF(M258&lt;=20,"R5 Harden","R6 Launch")))))</f>
        <v>R2 Core Clinic</v>
      </c>
      <c r="O258" s="16" t="n">
        <f aca="false">L258*README!$B$32</f>
        <v>4.8</v>
      </c>
      <c r="P258" s="11" t="s">
        <v>1509</v>
      </c>
      <c r="Q258" s="11" t="s">
        <v>1510</v>
      </c>
      <c r="R258" s="11" t="s">
        <v>103</v>
      </c>
      <c r="S258" s="11"/>
    </row>
    <row r="259" customFormat="false" ht="35.05" hidden="false" customHeight="false" outlineLevel="0" collapsed="false">
      <c r="A259" s="17" t="s">
        <v>1511</v>
      </c>
      <c r="B259" s="17" t="s">
        <v>1506</v>
      </c>
      <c r="C259" s="17" t="s">
        <v>107</v>
      </c>
      <c r="D259" s="17" t="s">
        <v>1512</v>
      </c>
      <c r="E259" s="17" t="s">
        <v>1513</v>
      </c>
      <c r="F259" s="17" t="s">
        <v>1514</v>
      </c>
      <c r="G259" s="17" t="s">
        <v>107</v>
      </c>
      <c r="H259" s="17" t="s">
        <v>107</v>
      </c>
      <c r="I259" s="17" t="s">
        <v>114</v>
      </c>
      <c r="J259" s="18" t="s">
        <v>100</v>
      </c>
      <c r="K259" s="18" t="s">
        <v>101</v>
      </c>
      <c r="L259" s="18" t="n">
        <v>13</v>
      </c>
      <c r="M259" s="18" t="n">
        <v>7</v>
      </c>
      <c r="N259" s="17" t="str">
        <f aca="false">IF(M259&lt;=4,"R1 Foundation",IF(M259&lt;=8,"R2 Core Clinic",IF(M259&lt;=13,"R3 Revenue &amp; Messaging",IF(M259&lt;=18,"R4 Patient &amp; Platform",IF(M259&lt;=20,"R5 Harden","R6 Launch")))))</f>
        <v>R2 Core Clinic</v>
      </c>
      <c r="O259" s="19" t="n">
        <f aca="false">L259*README!$B$32</f>
        <v>7.8</v>
      </c>
      <c r="P259" s="17" t="s">
        <v>1515</v>
      </c>
      <c r="Q259" s="17" t="s">
        <v>1516</v>
      </c>
      <c r="R259" s="17" t="s">
        <v>103</v>
      </c>
      <c r="S259" s="17"/>
    </row>
    <row r="260" customFormat="false" ht="23.85" hidden="false" customHeight="false" outlineLevel="0" collapsed="false">
      <c r="A260" s="11" t="s">
        <v>1517</v>
      </c>
      <c r="B260" s="11" t="s">
        <v>1506</v>
      </c>
      <c r="C260" s="11" t="s">
        <v>107</v>
      </c>
      <c r="D260" s="11" t="s">
        <v>1518</v>
      </c>
      <c r="E260" s="11" t="s">
        <v>1519</v>
      </c>
      <c r="F260" s="11" t="s">
        <v>1520</v>
      </c>
      <c r="G260" s="11" t="s">
        <v>107</v>
      </c>
      <c r="H260" s="11" t="s">
        <v>107</v>
      </c>
      <c r="I260" s="11" t="s">
        <v>114</v>
      </c>
      <c r="J260" s="15" t="s">
        <v>100</v>
      </c>
      <c r="K260" s="15" t="s">
        <v>101</v>
      </c>
      <c r="L260" s="15" t="n">
        <v>8</v>
      </c>
      <c r="M260" s="15" t="n">
        <v>10</v>
      </c>
      <c r="N260" s="11" t="str">
        <f aca="false">IF(M260&lt;=4,"R1 Foundation",IF(M260&lt;=8,"R2 Core Clinic",IF(M260&lt;=13,"R3 Revenue &amp; Messaging",IF(M260&lt;=18,"R4 Patient &amp; Platform",IF(M260&lt;=20,"R5 Harden","R6 Launch")))))</f>
        <v>R3 Revenue &amp; Messaging</v>
      </c>
      <c r="O260" s="16" t="n">
        <f aca="false">L260*README!$B$32</f>
        <v>4.8</v>
      </c>
      <c r="P260" s="11" t="s">
        <v>1511</v>
      </c>
      <c r="Q260" s="11" t="s">
        <v>1521</v>
      </c>
      <c r="R260" s="11" t="s">
        <v>103</v>
      </c>
      <c r="S260" s="11"/>
    </row>
    <row r="261" customFormat="false" ht="23.85" hidden="false" customHeight="false" outlineLevel="0" collapsed="false">
      <c r="A261" s="17" t="s">
        <v>1522</v>
      </c>
      <c r="B261" s="17" t="s">
        <v>1506</v>
      </c>
      <c r="C261" s="17" t="s">
        <v>107</v>
      </c>
      <c r="D261" s="17" t="s">
        <v>1523</v>
      </c>
      <c r="E261" s="17" t="s">
        <v>1524</v>
      </c>
      <c r="F261" s="17" t="s">
        <v>1525</v>
      </c>
      <c r="G261" s="17" t="s">
        <v>107</v>
      </c>
      <c r="H261" s="17" t="s">
        <v>107</v>
      </c>
      <c r="I261" s="17" t="s">
        <v>114</v>
      </c>
      <c r="J261" s="18" t="s">
        <v>100</v>
      </c>
      <c r="K261" s="18" t="s">
        <v>101</v>
      </c>
      <c r="L261" s="18" t="n">
        <v>5</v>
      </c>
      <c r="M261" s="18" t="n">
        <v>10</v>
      </c>
      <c r="N261" s="17" t="str">
        <f aca="false">IF(M261&lt;=4,"R1 Foundation",IF(M261&lt;=8,"R2 Core Clinic",IF(M261&lt;=13,"R3 Revenue &amp; Messaging",IF(M261&lt;=18,"R4 Patient &amp; Platform",IF(M261&lt;=20,"R5 Harden","R6 Launch")))))</f>
        <v>R3 Revenue &amp; Messaging</v>
      </c>
      <c r="O261" s="19" t="n">
        <f aca="false">L261*README!$B$32</f>
        <v>3</v>
      </c>
      <c r="P261" s="17" t="s">
        <v>1511</v>
      </c>
      <c r="Q261" s="17" t="s">
        <v>1526</v>
      </c>
      <c r="R261" s="17" t="s">
        <v>103</v>
      </c>
      <c r="S261" s="17"/>
    </row>
    <row r="262" customFormat="false" ht="23.85" hidden="false" customHeight="false" outlineLevel="0" collapsed="false">
      <c r="A262" s="11" t="s">
        <v>1527</v>
      </c>
      <c r="B262" s="11" t="s">
        <v>1506</v>
      </c>
      <c r="C262" s="11" t="s">
        <v>107</v>
      </c>
      <c r="D262" s="11" t="s">
        <v>1528</v>
      </c>
      <c r="E262" s="11" t="s">
        <v>1529</v>
      </c>
      <c r="F262" s="11" t="s">
        <v>1530</v>
      </c>
      <c r="G262" s="11" t="s">
        <v>107</v>
      </c>
      <c r="H262" s="11" t="s">
        <v>107</v>
      </c>
      <c r="I262" s="11" t="s">
        <v>114</v>
      </c>
      <c r="J262" s="15" t="s">
        <v>100</v>
      </c>
      <c r="K262" s="15" t="s">
        <v>101</v>
      </c>
      <c r="L262" s="15" t="n">
        <v>5</v>
      </c>
      <c r="M262" s="15" t="n">
        <v>7</v>
      </c>
      <c r="N262" s="11" t="str">
        <f aca="false">IF(M262&lt;=4,"R1 Foundation",IF(M262&lt;=8,"R2 Core Clinic",IF(M262&lt;=13,"R3 Revenue &amp; Messaging",IF(M262&lt;=18,"R4 Patient &amp; Platform",IF(M262&lt;=20,"R5 Harden","R6 Launch")))))</f>
        <v>R2 Core Clinic</v>
      </c>
      <c r="O262" s="16" t="n">
        <f aca="false">L262*README!$B$32</f>
        <v>3</v>
      </c>
      <c r="P262" s="11" t="s">
        <v>1511</v>
      </c>
      <c r="Q262" s="11" t="s">
        <v>1531</v>
      </c>
      <c r="R262" s="11" t="s">
        <v>103</v>
      </c>
      <c r="S262" s="11"/>
    </row>
    <row r="263" customFormat="false" ht="23.85" hidden="false" customHeight="false" outlineLevel="0" collapsed="false">
      <c r="A263" s="17" t="s">
        <v>1532</v>
      </c>
      <c r="B263" s="17" t="s">
        <v>1506</v>
      </c>
      <c r="C263" s="17" t="s">
        <v>107</v>
      </c>
      <c r="D263" s="17" t="s">
        <v>1533</v>
      </c>
      <c r="E263" s="17" t="s">
        <v>1534</v>
      </c>
      <c r="F263" s="17" t="s">
        <v>1535</v>
      </c>
      <c r="G263" s="17" t="s">
        <v>107</v>
      </c>
      <c r="H263" s="17" t="s">
        <v>107</v>
      </c>
      <c r="I263" s="17" t="s">
        <v>168</v>
      </c>
      <c r="J263" s="18" t="s">
        <v>100</v>
      </c>
      <c r="K263" s="18" t="s">
        <v>101</v>
      </c>
      <c r="L263" s="18" t="n">
        <v>8</v>
      </c>
      <c r="M263" s="18" t="n">
        <v>12</v>
      </c>
      <c r="N263" s="17" t="str">
        <f aca="false">IF(M263&lt;=4,"R1 Foundation",IF(M263&lt;=8,"R2 Core Clinic",IF(M263&lt;=13,"R3 Revenue &amp; Messaging",IF(M263&lt;=18,"R4 Patient &amp; Platform",IF(M263&lt;=20,"R5 Harden","R6 Launch")))))</f>
        <v>R3 Revenue &amp; Messaging</v>
      </c>
      <c r="O263" s="19" t="n">
        <f aca="false">L263*README!$B$32</f>
        <v>4.8</v>
      </c>
      <c r="P263" s="17" t="s">
        <v>1536</v>
      </c>
      <c r="Q263" s="17" t="s">
        <v>1537</v>
      </c>
      <c r="R263" s="17" t="s">
        <v>103</v>
      </c>
      <c r="S263" s="17"/>
    </row>
    <row r="264" customFormat="false" ht="23.85" hidden="false" customHeight="false" outlineLevel="0" collapsed="false">
      <c r="A264" s="11" t="s">
        <v>1538</v>
      </c>
      <c r="B264" s="11" t="s">
        <v>1506</v>
      </c>
      <c r="C264" s="11" t="s">
        <v>107</v>
      </c>
      <c r="D264" s="11" t="s">
        <v>1539</v>
      </c>
      <c r="E264" s="11" t="s">
        <v>1540</v>
      </c>
      <c r="F264" s="11" t="s">
        <v>1541</v>
      </c>
      <c r="G264" s="11" t="s">
        <v>107</v>
      </c>
      <c r="H264" s="11" t="s">
        <v>107</v>
      </c>
      <c r="I264" s="11" t="s">
        <v>292</v>
      </c>
      <c r="J264" s="15" t="s">
        <v>100</v>
      </c>
      <c r="K264" s="15" t="s">
        <v>101</v>
      </c>
      <c r="L264" s="15" t="n">
        <v>8</v>
      </c>
      <c r="M264" s="15" t="n">
        <v>13</v>
      </c>
      <c r="N264" s="11" t="str">
        <f aca="false">IF(M264&lt;=4,"R1 Foundation",IF(M264&lt;=8,"R2 Core Clinic",IF(M264&lt;=13,"R3 Revenue &amp; Messaging",IF(M264&lt;=18,"R4 Patient &amp; Platform",IF(M264&lt;=20,"R5 Harden","R6 Launch")))))</f>
        <v>R3 Revenue &amp; Messaging</v>
      </c>
      <c r="O264" s="16" t="n">
        <f aca="false">L264*README!$B$32</f>
        <v>4.8</v>
      </c>
      <c r="P264" s="11" t="s">
        <v>1542</v>
      </c>
      <c r="Q264" s="11" t="s">
        <v>1543</v>
      </c>
      <c r="R264" s="11" t="s">
        <v>103</v>
      </c>
      <c r="S264" s="11"/>
    </row>
    <row r="265" customFormat="false" ht="23.85" hidden="false" customHeight="false" outlineLevel="0" collapsed="false">
      <c r="A265" s="17" t="s">
        <v>1544</v>
      </c>
      <c r="B265" s="17" t="s">
        <v>1506</v>
      </c>
      <c r="C265" s="17" t="s">
        <v>107</v>
      </c>
      <c r="D265" s="17" t="s">
        <v>1545</v>
      </c>
      <c r="E265" s="17" t="s">
        <v>1546</v>
      </c>
      <c r="F265" s="17" t="s">
        <v>1547</v>
      </c>
      <c r="G265" s="17" t="s">
        <v>107</v>
      </c>
      <c r="H265" s="17" t="s">
        <v>107</v>
      </c>
      <c r="I265" s="17" t="s">
        <v>292</v>
      </c>
      <c r="J265" s="18" t="s">
        <v>100</v>
      </c>
      <c r="K265" s="18" t="s">
        <v>101</v>
      </c>
      <c r="L265" s="18" t="n">
        <v>8</v>
      </c>
      <c r="M265" s="18" t="n">
        <v>13</v>
      </c>
      <c r="N265" s="17" t="str">
        <f aca="false">IF(M265&lt;=4,"R1 Foundation",IF(M265&lt;=8,"R2 Core Clinic",IF(M265&lt;=13,"R3 Revenue &amp; Messaging",IF(M265&lt;=18,"R4 Patient &amp; Platform",IF(M265&lt;=20,"R5 Harden","R6 Launch")))))</f>
        <v>R3 Revenue &amp; Messaging</v>
      </c>
      <c r="O265" s="19" t="n">
        <f aca="false">L265*README!$B$32</f>
        <v>4.8</v>
      </c>
      <c r="P265" s="17" t="s">
        <v>1548</v>
      </c>
      <c r="Q265" s="17" t="s">
        <v>1549</v>
      </c>
      <c r="R265" s="17" t="s">
        <v>103</v>
      </c>
      <c r="S265" s="17"/>
    </row>
    <row r="266" customFormat="false" ht="23.85" hidden="false" customHeight="false" outlineLevel="0" collapsed="false">
      <c r="A266" s="11" t="s">
        <v>1550</v>
      </c>
      <c r="B266" s="11" t="s">
        <v>1506</v>
      </c>
      <c r="C266" s="11" t="s">
        <v>107</v>
      </c>
      <c r="D266" s="11" t="s">
        <v>1551</v>
      </c>
      <c r="E266" s="11" t="s">
        <v>1552</v>
      </c>
      <c r="F266" s="11" t="s">
        <v>1553</v>
      </c>
      <c r="G266" s="11" t="s">
        <v>107</v>
      </c>
      <c r="H266" s="11" t="s">
        <v>107</v>
      </c>
      <c r="I266" s="11" t="s">
        <v>292</v>
      </c>
      <c r="J266" s="15" t="s">
        <v>100</v>
      </c>
      <c r="K266" s="15" t="s">
        <v>101</v>
      </c>
      <c r="L266" s="15" t="n">
        <v>8</v>
      </c>
      <c r="M266" s="15" t="n">
        <v>14</v>
      </c>
      <c r="N266" s="11" t="str">
        <f aca="false">IF(M266&lt;=4,"R1 Foundation",IF(M266&lt;=8,"R2 Core Clinic",IF(M266&lt;=13,"R3 Revenue &amp; Messaging",IF(M266&lt;=18,"R4 Patient &amp; Platform",IF(M266&lt;=20,"R5 Harden","R6 Launch")))))</f>
        <v>R4 Patient &amp; Platform</v>
      </c>
      <c r="O266" s="16" t="n">
        <f aca="false">L266*README!$B$32</f>
        <v>4.8</v>
      </c>
      <c r="P266" s="11" t="s">
        <v>1554</v>
      </c>
      <c r="Q266" s="11" t="s">
        <v>1555</v>
      </c>
      <c r="R266" s="11" t="s">
        <v>103</v>
      </c>
      <c r="S266" s="11"/>
    </row>
    <row r="267" customFormat="false" ht="35.05" hidden="false" customHeight="false" outlineLevel="0" collapsed="false">
      <c r="A267" s="17" t="s">
        <v>1556</v>
      </c>
      <c r="B267" s="17" t="s">
        <v>1506</v>
      </c>
      <c r="C267" s="17" t="s">
        <v>107</v>
      </c>
      <c r="D267" s="17" t="s">
        <v>1557</v>
      </c>
      <c r="E267" s="17" t="s">
        <v>1558</v>
      </c>
      <c r="F267" s="17" t="s">
        <v>1559</v>
      </c>
      <c r="G267" s="17" t="s">
        <v>107</v>
      </c>
      <c r="H267" s="17" t="s">
        <v>107</v>
      </c>
      <c r="I267" s="17" t="s">
        <v>319</v>
      </c>
      <c r="J267" s="18" t="s">
        <v>100</v>
      </c>
      <c r="K267" s="18" t="s">
        <v>101</v>
      </c>
      <c r="L267" s="18" t="n">
        <v>8</v>
      </c>
      <c r="M267" s="18" t="n">
        <v>14</v>
      </c>
      <c r="N267" s="17" t="str">
        <f aca="false">IF(M267&lt;=4,"R1 Foundation",IF(M267&lt;=8,"R2 Core Clinic",IF(M267&lt;=13,"R3 Revenue &amp; Messaging",IF(M267&lt;=18,"R4 Patient &amp; Platform",IF(M267&lt;=20,"R5 Harden","R6 Launch")))))</f>
        <v>R4 Patient &amp; Platform</v>
      </c>
      <c r="O267" s="19" t="n">
        <f aca="false">L267*README!$B$32</f>
        <v>4.8</v>
      </c>
      <c r="P267" s="17" t="s">
        <v>1560</v>
      </c>
      <c r="Q267" s="17" t="s">
        <v>1561</v>
      </c>
      <c r="R267" s="17" t="s">
        <v>103</v>
      </c>
      <c r="S267" s="17"/>
    </row>
    <row r="268" customFormat="false" ht="23.85" hidden="false" customHeight="false" outlineLevel="0" collapsed="false">
      <c r="A268" s="11" t="s">
        <v>1562</v>
      </c>
      <c r="B268" s="11" t="s">
        <v>1506</v>
      </c>
      <c r="C268" s="11" t="s">
        <v>107</v>
      </c>
      <c r="D268" s="11" t="s">
        <v>1563</v>
      </c>
      <c r="E268" s="11" t="s">
        <v>1564</v>
      </c>
      <c r="F268" s="11" t="s">
        <v>1565</v>
      </c>
      <c r="G268" s="11" t="s">
        <v>107</v>
      </c>
      <c r="H268" s="11" t="s">
        <v>107</v>
      </c>
      <c r="I268" s="11" t="s">
        <v>292</v>
      </c>
      <c r="J268" s="15" t="s">
        <v>100</v>
      </c>
      <c r="K268" s="15" t="s">
        <v>101</v>
      </c>
      <c r="L268" s="15" t="n">
        <v>8</v>
      </c>
      <c r="M268" s="15" t="n">
        <v>15</v>
      </c>
      <c r="N268" s="11" t="str">
        <f aca="false">IF(M268&lt;=4,"R1 Foundation",IF(M268&lt;=8,"R2 Core Clinic",IF(M268&lt;=13,"R3 Revenue &amp; Messaging",IF(M268&lt;=18,"R4 Patient &amp; Platform",IF(M268&lt;=20,"R5 Harden","R6 Launch")))))</f>
        <v>R4 Patient &amp; Platform</v>
      </c>
      <c r="O268" s="16" t="n">
        <f aca="false">L268*README!$B$32</f>
        <v>4.8</v>
      </c>
      <c r="P268" s="11" t="s">
        <v>1566</v>
      </c>
      <c r="Q268" s="11" t="s">
        <v>1567</v>
      </c>
      <c r="R268" s="11" t="s">
        <v>103</v>
      </c>
      <c r="S268" s="11"/>
    </row>
    <row r="269" customFormat="false" ht="23.85" hidden="false" customHeight="false" outlineLevel="0" collapsed="false">
      <c r="A269" s="17" t="s">
        <v>1568</v>
      </c>
      <c r="B269" s="17" t="s">
        <v>1506</v>
      </c>
      <c r="C269" s="17" t="s">
        <v>107</v>
      </c>
      <c r="D269" s="17" t="s">
        <v>1569</v>
      </c>
      <c r="E269" s="17" t="s">
        <v>1570</v>
      </c>
      <c r="F269" s="17" t="s">
        <v>1571</v>
      </c>
      <c r="G269" s="17" t="s">
        <v>107</v>
      </c>
      <c r="H269" s="17" t="s">
        <v>107</v>
      </c>
      <c r="I269" s="17" t="s">
        <v>292</v>
      </c>
      <c r="J269" s="18" t="s">
        <v>100</v>
      </c>
      <c r="K269" s="18" t="s">
        <v>101</v>
      </c>
      <c r="L269" s="18" t="n">
        <v>5</v>
      </c>
      <c r="M269" s="18" t="n">
        <v>15</v>
      </c>
      <c r="N269" s="17" t="str">
        <f aca="false">IF(M269&lt;=4,"R1 Foundation",IF(M269&lt;=8,"R2 Core Clinic",IF(M269&lt;=13,"R3 Revenue &amp; Messaging",IF(M269&lt;=18,"R4 Patient &amp; Platform",IF(M269&lt;=20,"R5 Harden","R6 Launch")))))</f>
        <v>R4 Patient &amp; Platform</v>
      </c>
      <c r="O269" s="19" t="n">
        <f aca="false">L269*README!$B$32</f>
        <v>3</v>
      </c>
      <c r="P269" s="17" t="s">
        <v>1572</v>
      </c>
      <c r="Q269" s="17" t="s">
        <v>1573</v>
      </c>
      <c r="R269" s="17" t="s">
        <v>103</v>
      </c>
      <c r="S269" s="17"/>
    </row>
    <row r="270" customFormat="false" ht="23.85" hidden="false" customHeight="false" outlineLevel="0" collapsed="false">
      <c r="A270" s="11" t="s">
        <v>1574</v>
      </c>
      <c r="B270" s="11" t="s">
        <v>1506</v>
      </c>
      <c r="C270" s="11" t="s">
        <v>107</v>
      </c>
      <c r="D270" s="11" t="s">
        <v>1575</v>
      </c>
      <c r="E270" s="11" t="s">
        <v>1576</v>
      </c>
      <c r="F270" s="11" t="s">
        <v>459</v>
      </c>
      <c r="G270" s="11" t="s">
        <v>107</v>
      </c>
      <c r="H270" s="11" t="s">
        <v>107</v>
      </c>
      <c r="I270" s="11" t="s">
        <v>292</v>
      </c>
      <c r="J270" s="15" t="s">
        <v>100</v>
      </c>
      <c r="K270" s="15" t="s">
        <v>101</v>
      </c>
      <c r="L270" s="15" t="n">
        <v>8</v>
      </c>
      <c r="M270" s="15" t="n">
        <v>12</v>
      </c>
      <c r="N270" s="11" t="str">
        <f aca="false">IF(M270&lt;=4,"R1 Foundation",IF(M270&lt;=8,"R2 Core Clinic",IF(M270&lt;=13,"R3 Revenue &amp; Messaging",IF(M270&lt;=18,"R4 Patient &amp; Platform",IF(M270&lt;=20,"R5 Harden","R6 Launch")))))</f>
        <v>R3 Revenue &amp; Messaging</v>
      </c>
      <c r="O270" s="16" t="n">
        <f aca="false">L270*README!$B$32</f>
        <v>4.8</v>
      </c>
      <c r="P270" s="11" t="s">
        <v>1577</v>
      </c>
      <c r="Q270" s="11" t="s">
        <v>1578</v>
      </c>
      <c r="R270" s="11" t="s">
        <v>103</v>
      </c>
      <c r="S270" s="11"/>
    </row>
    <row r="271" customFormat="false" ht="23.85" hidden="false" customHeight="false" outlineLevel="0" collapsed="false">
      <c r="A271" s="17" t="s">
        <v>1579</v>
      </c>
      <c r="B271" s="17" t="s">
        <v>1506</v>
      </c>
      <c r="C271" s="17" t="s">
        <v>107</v>
      </c>
      <c r="D271" s="17" t="s">
        <v>1580</v>
      </c>
      <c r="E271" s="17" t="s">
        <v>1581</v>
      </c>
      <c r="F271" s="17" t="s">
        <v>1582</v>
      </c>
      <c r="G271" s="17" t="s">
        <v>107</v>
      </c>
      <c r="H271" s="17" t="s">
        <v>107</v>
      </c>
      <c r="I271" s="17" t="s">
        <v>292</v>
      </c>
      <c r="J271" s="18" t="s">
        <v>130</v>
      </c>
      <c r="K271" s="18" t="s">
        <v>211</v>
      </c>
      <c r="L271" s="18" t="n">
        <v>8</v>
      </c>
      <c r="M271" s="18" t="n">
        <v>17</v>
      </c>
      <c r="N271" s="17" t="str">
        <f aca="false">IF(M271&lt;=4,"R1 Foundation",IF(M271&lt;=8,"R2 Core Clinic",IF(M271&lt;=13,"R3 Revenue &amp; Messaging",IF(M271&lt;=18,"R4 Patient &amp; Platform",IF(M271&lt;=20,"R5 Harden","R6 Launch")))))</f>
        <v>R4 Patient &amp; Platform</v>
      </c>
      <c r="O271" s="19" t="n">
        <f aca="false">L271*README!$B$32</f>
        <v>4.8</v>
      </c>
      <c r="P271" s="17" t="s">
        <v>1583</v>
      </c>
      <c r="Q271" s="17" t="s">
        <v>1584</v>
      </c>
      <c r="R271" s="17" t="s">
        <v>103</v>
      </c>
      <c r="S271" s="17"/>
    </row>
    <row r="272" customFormat="false" ht="23.85" hidden="false" customHeight="false" outlineLevel="0" collapsed="false">
      <c r="A272" s="11" t="s">
        <v>1585</v>
      </c>
      <c r="B272" s="11" t="s">
        <v>1506</v>
      </c>
      <c r="C272" s="11" t="s">
        <v>107</v>
      </c>
      <c r="D272" s="11" t="s">
        <v>1586</v>
      </c>
      <c r="E272" s="11" t="s">
        <v>1587</v>
      </c>
      <c r="F272" s="11" t="s">
        <v>1492</v>
      </c>
      <c r="G272" s="11" t="s">
        <v>107</v>
      </c>
      <c r="H272" s="11" t="s">
        <v>107</v>
      </c>
      <c r="I272" s="11" t="s">
        <v>149</v>
      </c>
      <c r="J272" s="15" t="s">
        <v>100</v>
      </c>
      <c r="K272" s="15" t="s">
        <v>101</v>
      </c>
      <c r="L272" s="15" t="n">
        <v>13</v>
      </c>
      <c r="M272" s="15" t="n">
        <v>11</v>
      </c>
      <c r="N272" s="11" t="str">
        <f aca="false">IF(M272&lt;=4,"R1 Foundation",IF(M272&lt;=8,"R2 Core Clinic",IF(M272&lt;=13,"R3 Revenue &amp; Messaging",IF(M272&lt;=18,"R4 Patient &amp; Platform",IF(M272&lt;=20,"R5 Harden","R6 Launch")))))</f>
        <v>R3 Revenue &amp; Messaging</v>
      </c>
      <c r="O272" s="16" t="n">
        <f aca="false">L272*README!$B$32</f>
        <v>7.8</v>
      </c>
      <c r="P272" s="11" t="s">
        <v>1588</v>
      </c>
      <c r="Q272" s="11" t="s">
        <v>1589</v>
      </c>
      <c r="R272" s="11" t="s">
        <v>103</v>
      </c>
      <c r="S272" s="11"/>
    </row>
    <row r="273" customFormat="false" ht="23.85" hidden="false" customHeight="false" outlineLevel="0" collapsed="false">
      <c r="A273" s="17" t="s">
        <v>1503</v>
      </c>
      <c r="B273" s="17" t="s">
        <v>1506</v>
      </c>
      <c r="C273" s="17" t="s">
        <v>107</v>
      </c>
      <c r="D273" s="17" t="s">
        <v>1590</v>
      </c>
      <c r="E273" s="17" t="s">
        <v>1591</v>
      </c>
      <c r="F273" s="17" t="s">
        <v>1592</v>
      </c>
      <c r="G273" s="17" t="s">
        <v>107</v>
      </c>
      <c r="H273" s="17" t="s">
        <v>107</v>
      </c>
      <c r="I273" s="17" t="s">
        <v>292</v>
      </c>
      <c r="J273" s="18" t="s">
        <v>100</v>
      </c>
      <c r="K273" s="18" t="s">
        <v>101</v>
      </c>
      <c r="L273" s="18" t="n">
        <v>5</v>
      </c>
      <c r="M273" s="18" t="n">
        <v>15</v>
      </c>
      <c r="N273" s="17" t="str">
        <f aca="false">IF(M273&lt;=4,"R1 Foundation",IF(M273&lt;=8,"R2 Core Clinic",IF(M273&lt;=13,"R3 Revenue &amp; Messaging",IF(M273&lt;=18,"R4 Patient &amp; Platform",IF(M273&lt;=20,"R5 Harden","R6 Launch")))))</f>
        <v>R4 Patient &amp; Platform</v>
      </c>
      <c r="O273" s="19" t="n">
        <f aca="false">L273*README!$B$32</f>
        <v>3</v>
      </c>
      <c r="P273" s="17" t="s">
        <v>1593</v>
      </c>
      <c r="Q273" s="17" t="s">
        <v>1594</v>
      </c>
      <c r="R273" s="17" t="s">
        <v>103</v>
      </c>
      <c r="S273" s="17"/>
    </row>
    <row r="274" customFormat="false" ht="23.85" hidden="false" customHeight="false" outlineLevel="0" collapsed="false">
      <c r="A274" s="11" t="s">
        <v>1595</v>
      </c>
      <c r="B274" s="11" t="s">
        <v>1506</v>
      </c>
      <c r="C274" s="11" t="s">
        <v>107</v>
      </c>
      <c r="D274" s="11" t="s">
        <v>1596</v>
      </c>
      <c r="E274" s="11" t="s">
        <v>1597</v>
      </c>
      <c r="F274" s="11" t="s">
        <v>1598</v>
      </c>
      <c r="G274" s="11" t="s">
        <v>107</v>
      </c>
      <c r="H274" s="11" t="s">
        <v>107</v>
      </c>
      <c r="I274" s="11" t="s">
        <v>114</v>
      </c>
      <c r="J274" s="15" t="s">
        <v>130</v>
      </c>
      <c r="K274" s="15" t="s">
        <v>101</v>
      </c>
      <c r="L274" s="15" t="n">
        <v>5</v>
      </c>
      <c r="M274" s="15" t="n">
        <v>16</v>
      </c>
      <c r="N274" s="11" t="str">
        <f aca="false">IF(M274&lt;=4,"R1 Foundation",IF(M274&lt;=8,"R2 Core Clinic",IF(M274&lt;=13,"R3 Revenue &amp; Messaging",IF(M274&lt;=18,"R4 Patient &amp; Platform",IF(M274&lt;=20,"R5 Harden","R6 Launch")))))</f>
        <v>R4 Patient &amp; Platform</v>
      </c>
      <c r="O274" s="16" t="n">
        <f aca="false">L274*README!$B$32</f>
        <v>3</v>
      </c>
      <c r="P274" s="11" t="s">
        <v>1599</v>
      </c>
      <c r="Q274" s="11" t="s">
        <v>1600</v>
      </c>
      <c r="R274" s="11" t="s">
        <v>103</v>
      </c>
      <c r="S274" s="11"/>
    </row>
    <row r="275" customFormat="false" ht="23.85" hidden="false" customHeight="false" outlineLevel="0" collapsed="false">
      <c r="A275" s="17" t="s">
        <v>1601</v>
      </c>
      <c r="B275" s="17" t="s">
        <v>1506</v>
      </c>
      <c r="C275" s="17" t="s">
        <v>107</v>
      </c>
      <c r="D275" s="17" t="s">
        <v>1602</v>
      </c>
      <c r="E275" s="17" t="s">
        <v>1603</v>
      </c>
      <c r="F275" s="17"/>
      <c r="G275" s="17" t="s">
        <v>233</v>
      </c>
      <c r="H275" s="17" t="s">
        <v>291</v>
      </c>
      <c r="I275" s="17" t="s">
        <v>114</v>
      </c>
      <c r="J275" s="18" t="s">
        <v>130</v>
      </c>
      <c r="K275" s="18" t="s">
        <v>211</v>
      </c>
      <c r="L275" s="18" t="n">
        <v>8</v>
      </c>
      <c r="M275" s="18" t="n">
        <v>18</v>
      </c>
      <c r="N275" s="17" t="str">
        <f aca="false">IF(M275&lt;=4,"R1 Foundation",IF(M275&lt;=8,"R2 Core Clinic",IF(M275&lt;=13,"R3 Revenue &amp; Messaging",IF(M275&lt;=18,"R4 Patient &amp; Platform",IF(M275&lt;=20,"R5 Harden","R6 Launch")))))</f>
        <v>R4 Patient &amp; Platform</v>
      </c>
      <c r="O275" s="19" t="n">
        <f aca="false">L275*README!$B$32</f>
        <v>4.8</v>
      </c>
      <c r="P275" s="17" t="s">
        <v>1604</v>
      </c>
      <c r="Q275" s="17" t="s">
        <v>1605</v>
      </c>
      <c r="R275" s="17" t="s">
        <v>103</v>
      </c>
      <c r="S275" s="17"/>
    </row>
    <row r="276" customFormat="false" ht="23.85" hidden="false" customHeight="false" outlineLevel="0" collapsed="false">
      <c r="A276" s="11" t="s">
        <v>1606</v>
      </c>
      <c r="B276" s="11" t="s">
        <v>1607</v>
      </c>
      <c r="C276" s="11" t="s">
        <v>1608</v>
      </c>
      <c r="D276" s="11" t="s">
        <v>1609</v>
      </c>
      <c r="E276" s="11" t="s">
        <v>1610</v>
      </c>
      <c r="F276" s="11" t="s">
        <v>1611</v>
      </c>
      <c r="G276" s="11" t="s">
        <v>107</v>
      </c>
      <c r="H276" s="11" t="s">
        <v>107</v>
      </c>
      <c r="I276" s="11" t="s">
        <v>292</v>
      </c>
      <c r="J276" s="15" t="s">
        <v>130</v>
      </c>
      <c r="K276" s="15" t="s">
        <v>101</v>
      </c>
      <c r="L276" s="15" t="n">
        <v>8</v>
      </c>
      <c r="M276" s="15" t="n">
        <v>14</v>
      </c>
      <c r="N276" s="11" t="str">
        <f aca="false">IF(M276&lt;=4,"R1 Foundation",IF(M276&lt;=8,"R2 Core Clinic",IF(M276&lt;=13,"R3 Revenue &amp; Messaging",IF(M276&lt;=18,"R4 Patient &amp; Platform",IF(M276&lt;=20,"R5 Harden","R6 Launch")))))</f>
        <v>R4 Patient &amp; Platform</v>
      </c>
      <c r="O276" s="16" t="n">
        <f aca="false">L276*README!$B$32</f>
        <v>4.8</v>
      </c>
      <c r="P276" s="11" t="s">
        <v>1612</v>
      </c>
      <c r="Q276" s="11" t="s">
        <v>1613</v>
      </c>
      <c r="R276" s="11" t="s">
        <v>103</v>
      </c>
      <c r="S276" s="11"/>
    </row>
    <row r="277" customFormat="false" ht="23.85" hidden="false" customHeight="false" outlineLevel="0" collapsed="false">
      <c r="A277" s="17" t="s">
        <v>1614</v>
      </c>
      <c r="B277" s="17" t="s">
        <v>1607</v>
      </c>
      <c r="C277" s="17" t="s">
        <v>1608</v>
      </c>
      <c r="D277" s="17" t="s">
        <v>1615</v>
      </c>
      <c r="E277" s="17" t="s">
        <v>1616</v>
      </c>
      <c r="F277" s="17" t="s">
        <v>1617</v>
      </c>
      <c r="G277" s="17" t="s">
        <v>1133</v>
      </c>
      <c r="H277" s="17" t="s">
        <v>107</v>
      </c>
      <c r="I277" s="17" t="s">
        <v>292</v>
      </c>
      <c r="J277" s="18" t="s">
        <v>100</v>
      </c>
      <c r="K277" s="18" t="s">
        <v>101</v>
      </c>
      <c r="L277" s="18" t="n">
        <v>5</v>
      </c>
      <c r="M277" s="18" t="n">
        <v>14</v>
      </c>
      <c r="N277" s="17" t="str">
        <f aca="false">IF(M277&lt;=4,"R1 Foundation",IF(M277&lt;=8,"R2 Core Clinic",IF(M277&lt;=13,"R3 Revenue &amp; Messaging",IF(M277&lt;=18,"R4 Patient &amp; Platform",IF(M277&lt;=20,"R5 Harden","R6 Launch")))))</f>
        <v>R4 Patient &amp; Platform</v>
      </c>
      <c r="O277" s="19" t="n">
        <f aca="false">L277*README!$B$32</f>
        <v>3</v>
      </c>
      <c r="P277" s="17" t="s">
        <v>1618</v>
      </c>
      <c r="Q277" s="17" t="s">
        <v>1619</v>
      </c>
      <c r="R277" s="17" t="s">
        <v>103</v>
      </c>
      <c r="S277" s="17"/>
    </row>
    <row r="278" customFormat="false" ht="23.85" hidden="false" customHeight="false" outlineLevel="0" collapsed="false">
      <c r="A278" s="11" t="s">
        <v>1620</v>
      </c>
      <c r="B278" s="11" t="s">
        <v>1607</v>
      </c>
      <c r="C278" s="11" t="s">
        <v>1608</v>
      </c>
      <c r="D278" s="11" t="s">
        <v>1621</v>
      </c>
      <c r="E278" s="11" t="s">
        <v>1622</v>
      </c>
      <c r="F278" s="11" t="s">
        <v>1623</v>
      </c>
      <c r="G278" s="11" t="s">
        <v>107</v>
      </c>
      <c r="H278" s="11" t="s">
        <v>107</v>
      </c>
      <c r="I278" s="11" t="s">
        <v>292</v>
      </c>
      <c r="J278" s="15" t="s">
        <v>130</v>
      </c>
      <c r="K278" s="15" t="s">
        <v>211</v>
      </c>
      <c r="L278" s="15" t="n">
        <v>5</v>
      </c>
      <c r="M278" s="15" t="n">
        <v>17</v>
      </c>
      <c r="N278" s="11" t="str">
        <f aca="false">IF(M278&lt;=4,"R1 Foundation",IF(M278&lt;=8,"R2 Core Clinic",IF(M278&lt;=13,"R3 Revenue &amp; Messaging",IF(M278&lt;=18,"R4 Patient &amp; Platform",IF(M278&lt;=20,"R5 Harden","R6 Launch")))))</f>
        <v>R4 Patient &amp; Platform</v>
      </c>
      <c r="O278" s="16" t="n">
        <f aca="false">L278*README!$B$32</f>
        <v>3</v>
      </c>
      <c r="P278" s="11" t="s">
        <v>1606</v>
      </c>
      <c r="Q278" s="11" t="s">
        <v>1624</v>
      </c>
      <c r="R278" s="11" t="s">
        <v>103</v>
      </c>
      <c r="S278" s="11"/>
    </row>
    <row r="279" customFormat="false" ht="23.85" hidden="false" customHeight="false" outlineLevel="0" collapsed="false">
      <c r="A279" s="17" t="s">
        <v>1625</v>
      </c>
      <c r="B279" s="17" t="s">
        <v>1607</v>
      </c>
      <c r="C279" s="17" t="s">
        <v>1608</v>
      </c>
      <c r="D279" s="17" t="s">
        <v>1626</v>
      </c>
      <c r="E279" s="17" t="s">
        <v>1627</v>
      </c>
      <c r="F279" s="17" t="s">
        <v>1628</v>
      </c>
      <c r="G279" s="17" t="s">
        <v>107</v>
      </c>
      <c r="H279" s="17" t="s">
        <v>107</v>
      </c>
      <c r="I279" s="17" t="s">
        <v>292</v>
      </c>
      <c r="J279" s="18" t="s">
        <v>130</v>
      </c>
      <c r="K279" s="18" t="s">
        <v>211</v>
      </c>
      <c r="L279" s="18" t="n">
        <v>5</v>
      </c>
      <c r="M279" s="18" t="n">
        <v>18</v>
      </c>
      <c r="N279" s="17" t="str">
        <f aca="false">IF(M279&lt;=4,"R1 Foundation",IF(M279&lt;=8,"R2 Core Clinic",IF(M279&lt;=13,"R3 Revenue &amp; Messaging",IF(M279&lt;=18,"R4 Patient &amp; Platform",IF(M279&lt;=20,"R5 Harden","R6 Launch")))))</f>
        <v>R4 Patient &amp; Platform</v>
      </c>
      <c r="O279" s="19" t="n">
        <f aca="false">L279*README!$B$32</f>
        <v>3</v>
      </c>
      <c r="P279" s="17" t="s">
        <v>1629</v>
      </c>
      <c r="Q279" s="17" t="s">
        <v>1630</v>
      </c>
      <c r="R279" s="17" t="s">
        <v>103</v>
      </c>
      <c r="S279" s="17"/>
    </row>
    <row r="280" customFormat="false" ht="23.85" hidden="false" customHeight="false" outlineLevel="0" collapsed="false">
      <c r="A280" s="11" t="s">
        <v>1631</v>
      </c>
      <c r="B280" s="11" t="s">
        <v>1607</v>
      </c>
      <c r="C280" s="11" t="s">
        <v>1608</v>
      </c>
      <c r="D280" s="11" t="s">
        <v>1632</v>
      </c>
      <c r="E280" s="11" t="s">
        <v>1633</v>
      </c>
      <c r="F280" s="11" t="s">
        <v>1634</v>
      </c>
      <c r="G280" s="11" t="s">
        <v>107</v>
      </c>
      <c r="H280" s="11" t="s">
        <v>107</v>
      </c>
      <c r="I280" s="11" t="s">
        <v>292</v>
      </c>
      <c r="J280" s="15" t="s">
        <v>210</v>
      </c>
      <c r="K280" s="15" t="s">
        <v>211</v>
      </c>
      <c r="L280" s="15" t="n">
        <v>5</v>
      </c>
      <c r="M280" s="15" t="n">
        <v>19</v>
      </c>
      <c r="N280" s="11" t="str">
        <f aca="false">IF(M280&lt;=4,"R1 Foundation",IF(M280&lt;=8,"R2 Core Clinic",IF(M280&lt;=13,"R3 Revenue &amp; Messaging",IF(M280&lt;=18,"R4 Patient &amp; Platform",IF(M280&lt;=20,"R5 Harden","R6 Launch")))))</f>
        <v>R5 Harden</v>
      </c>
      <c r="O280" s="16" t="n">
        <f aca="false">L280*README!$B$32</f>
        <v>3</v>
      </c>
      <c r="P280" s="11" t="s">
        <v>1625</v>
      </c>
      <c r="Q280" s="11" t="s">
        <v>1635</v>
      </c>
      <c r="R280" s="11" t="s">
        <v>103</v>
      </c>
      <c r="S280" s="11"/>
    </row>
    <row r="281" customFormat="false" ht="23.85" hidden="false" customHeight="false" outlineLevel="0" collapsed="false">
      <c r="A281" s="17" t="s">
        <v>1636</v>
      </c>
      <c r="B281" s="17" t="s">
        <v>1607</v>
      </c>
      <c r="C281" s="17" t="s">
        <v>1608</v>
      </c>
      <c r="D281" s="17" t="s">
        <v>1637</v>
      </c>
      <c r="E281" s="17" t="s">
        <v>1638</v>
      </c>
      <c r="F281" s="17" t="s">
        <v>1639</v>
      </c>
      <c r="G281" s="17" t="s">
        <v>1133</v>
      </c>
      <c r="H281" s="17" t="s">
        <v>107</v>
      </c>
      <c r="I281" s="17" t="s">
        <v>292</v>
      </c>
      <c r="J281" s="18" t="s">
        <v>100</v>
      </c>
      <c r="K281" s="18" t="s">
        <v>101</v>
      </c>
      <c r="L281" s="18" t="n">
        <v>5</v>
      </c>
      <c r="M281" s="18" t="n">
        <v>16</v>
      </c>
      <c r="N281" s="17" t="str">
        <f aca="false">IF(M281&lt;=4,"R1 Foundation",IF(M281&lt;=8,"R2 Core Clinic",IF(M281&lt;=13,"R3 Revenue &amp; Messaging",IF(M281&lt;=18,"R4 Patient &amp; Platform",IF(M281&lt;=20,"R5 Harden","R6 Launch")))))</f>
        <v>R4 Patient &amp; Platform</v>
      </c>
      <c r="O281" s="19" t="n">
        <f aca="false">L281*README!$B$32</f>
        <v>3</v>
      </c>
      <c r="P281" s="17" t="s">
        <v>1640</v>
      </c>
      <c r="Q281" s="17" t="s">
        <v>1641</v>
      </c>
      <c r="R281" s="17" t="s">
        <v>103</v>
      </c>
      <c r="S281" s="17"/>
    </row>
    <row r="282" customFormat="false" ht="23.85" hidden="false" customHeight="false" outlineLevel="0" collapsed="false">
      <c r="A282" s="11" t="s">
        <v>1642</v>
      </c>
      <c r="B282" s="11" t="s">
        <v>1607</v>
      </c>
      <c r="C282" s="11" t="s">
        <v>1608</v>
      </c>
      <c r="D282" s="11" t="s">
        <v>1643</v>
      </c>
      <c r="E282" s="11" t="s">
        <v>1644</v>
      </c>
      <c r="F282" s="11" t="s">
        <v>1645</v>
      </c>
      <c r="G282" s="11" t="s">
        <v>107</v>
      </c>
      <c r="H282" s="11" t="s">
        <v>107</v>
      </c>
      <c r="I282" s="11" t="s">
        <v>292</v>
      </c>
      <c r="J282" s="15" t="s">
        <v>210</v>
      </c>
      <c r="K282" s="15" t="s">
        <v>211</v>
      </c>
      <c r="L282" s="15" t="n">
        <v>3</v>
      </c>
      <c r="M282" s="15" t="n">
        <v>20</v>
      </c>
      <c r="N282" s="11" t="str">
        <f aca="false">IF(M282&lt;=4,"R1 Foundation",IF(M282&lt;=8,"R2 Core Clinic",IF(M282&lt;=13,"R3 Revenue &amp; Messaging",IF(M282&lt;=18,"R4 Patient &amp; Platform",IF(M282&lt;=20,"R5 Harden","R6 Launch")))))</f>
        <v>R5 Harden</v>
      </c>
      <c r="O282" s="16" t="n">
        <f aca="false">L282*README!$B$32</f>
        <v>1.8</v>
      </c>
      <c r="P282" s="11" t="s">
        <v>1620</v>
      </c>
      <c r="Q282" s="11" t="s">
        <v>1646</v>
      </c>
      <c r="R282" s="11" t="s">
        <v>103</v>
      </c>
      <c r="S282" s="11"/>
    </row>
    <row r="283" customFormat="false" ht="23.85" hidden="false" customHeight="false" outlineLevel="0" collapsed="false">
      <c r="A283" s="17" t="s">
        <v>1647</v>
      </c>
      <c r="B283" s="17" t="s">
        <v>1648</v>
      </c>
      <c r="C283" s="17" t="s">
        <v>319</v>
      </c>
      <c r="D283" s="17" t="s">
        <v>1649</v>
      </c>
      <c r="E283" s="17" t="s">
        <v>1650</v>
      </c>
      <c r="F283" s="17"/>
      <c r="G283" s="17" t="s">
        <v>98</v>
      </c>
      <c r="H283" s="17" t="s">
        <v>99</v>
      </c>
      <c r="I283" s="17" t="s">
        <v>319</v>
      </c>
      <c r="J283" s="18" t="s">
        <v>100</v>
      </c>
      <c r="K283" s="18" t="s">
        <v>101</v>
      </c>
      <c r="L283" s="18" t="n">
        <v>8</v>
      </c>
      <c r="M283" s="18" t="n">
        <v>2</v>
      </c>
      <c r="N283" s="17" t="str">
        <f aca="false">IF(M283&lt;=4,"R1 Foundation",IF(M283&lt;=8,"R2 Core Clinic",IF(M283&lt;=13,"R3 Revenue &amp; Messaging",IF(M283&lt;=18,"R4 Patient &amp; Platform",IF(M283&lt;=20,"R5 Harden","R6 Launch")))))</f>
        <v>R1 Foundation</v>
      </c>
      <c r="O283" s="19" t="n">
        <f aca="false">L283*README!$B$32</f>
        <v>4.8</v>
      </c>
      <c r="P283" s="17" t="s">
        <v>92</v>
      </c>
      <c r="Q283" s="17" t="s">
        <v>1651</v>
      </c>
      <c r="R283" s="17" t="s">
        <v>103</v>
      </c>
      <c r="S283" s="17"/>
    </row>
    <row r="284" customFormat="false" ht="23.85" hidden="false" customHeight="false" outlineLevel="0" collapsed="false">
      <c r="A284" s="11" t="s">
        <v>1652</v>
      </c>
      <c r="B284" s="11" t="s">
        <v>1648</v>
      </c>
      <c r="C284" s="11" t="s">
        <v>319</v>
      </c>
      <c r="D284" s="11" t="s">
        <v>1653</v>
      </c>
      <c r="E284" s="11" t="s">
        <v>1654</v>
      </c>
      <c r="F284" s="11" t="s">
        <v>1655</v>
      </c>
      <c r="G284" s="11" t="s">
        <v>98</v>
      </c>
      <c r="H284" s="11" t="s">
        <v>99</v>
      </c>
      <c r="I284" s="11" t="s">
        <v>319</v>
      </c>
      <c r="J284" s="15" t="s">
        <v>100</v>
      </c>
      <c r="K284" s="15" t="s">
        <v>101</v>
      </c>
      <c r="L284" s="15" t="n">
        <v>8</v>
      </c>
      <c r="M284" s="15" t="n">
        <v>5</v>
      </c>
      <c r="N284" s="11" t="str">
        <f aca="false">IF(M284&lt;=4,"R1 Foundation",IF(M284&lt;=8,"R2 Core Clinic",IF(M284&lt;=13,"R3 Revenue &amp; Messaging",IF(M284&lt;=18,"R4 Patient &amp; Platform",IF(M284&lt;=20,"R5 Harden","R6 Launch")))))</f>
        <v>R2 Core Clinic</v>
      </c>
      <c r="O284" s="16" t="n">
        <f aca="false">L284*README!$B$32</f>
        <v>4.8</v>
      </c>
      <c r="P284" s="11" t="s">
        <v>1656</v>
      </c>
      <c r="Q284" s="11" t="s">
        <v>1657</v>
      </c>
      <c r="R284" s="11" t="s">
        <v>103</v>
      </c>
      <c r="S284" s="11"/>
    </row>
    <row r="285" customFormat="false" ht="15" hidden="false" customHeight="false" outlineLevel="0" collapsed="false">
      <c r="A285" s="17" t="s">
        <v>1658</v>
      </c>
      <c r="B285" s="17" t="s">
        <v>1648</v>
      </c>
      <c r="C285" s="17" t="s">
        <v>319</v>
      </c>
      <c r="D285" s="17" t="s">
        <v>1659</v>
      </c>
      <c r="E285" s="17" t="s">
        <v>1660</v>
      </c>
      <c r="F285" s="17"/>
      <c r="G285" s="17" t="s">
        <v>98</v>
      </c>
      <c r="H285" s="17" t="s">
        <v>99</v>
      </c>
      <c r="I285" s="17" t="s">
        <v>319</v>
      </c>
      <c r="J285" s="18" t="s">
        <v>100</v>
      </c>
      <c r="K285" s="18" t="s">
        <v>101</v>
      </c>
      <c r="L285" s="18" t="n">
        <v>3</v>
      </c>
      <c r="M285" s="18" t="n">
        <v>5</v>
      </c>
      <c r="N285" s="17" t="str">
        <f aca="false">IF(M285&lt;=4,"R1 Foundation",IF(M285&lt;=8,"R2 Core Clinic",IF(M285&lt;=13,"R3 Revenue &amp; Messaging",IF(M285&lt;=18,"R4 Patient &amp; Platform",IF(M285&lt;=20,"R5 Harden","R6 Launch")))))</f>
        <v>R2 Core Clinic</v>
      </c>
      <c r="O285" s="19" t="n">
        <f aca="false">L285*README!$B$32</f>
        <v>1.8</v>
      </c>
      <c r="P285" s="17" t="s">
        <v>150</v>
      </c>
      <c r="Q285" s="17" t="s">
        <v>1661</v>
      </c>
      <c r="R285" s="17" t="s">
        <v>103</v>
      </c>
      <c r="S285" s="17"/>
    </row>
    <row r="286" customFormat="false" ht="15" hidden="false" customHeight="false" outlineLevel="0" collapsed="false">
      <c r="A286" s="11" t="s">
        <v>1662</v>
      </c>
      <c r="B286" s="11" t="s">
        <v>1648</v>
      </c>
      <c r="C286" s="11" t="s">
        <v>319</v>
      </c>
      <c r="D286" s="11" t="s">
        <v>1663</v>
      </c>
      <c r="E286" s="11" t="s">
        <v>1664</v>
      </c>
      <c r="F286" s="11"/>
      <c r="G286" s="11" t="s">
        <v>98</v>
      </c>
      <c r="H286" s="11" t="s">
        <v>99</v>
      </c>
      <c r="I286" s="11" t="s">
        <v>319</v>
      </c>
      <c r="J286" s="15" t="s">
        <v>100</v>
      </c>
      <c r="K286" s="15" t="s">
        <v>101</v>
      </c>
      <c r="L286" s="15" t="n">
        <v>5</v>
      </c>
      <c r="M286" s="15" t="n">
        <v>8</v>
      </c>
      <c r="N286" s="11" t="str">
        <f aca="false">IF(M286&lt;=4,"R1 Foundation",IF(M286&lt;=8,"R2 Core Clinic",IF(M286&lt;=13,"R3 Revenue &amp; Messaging",IF(M286&lt;=18,"R4 Patient &amp; Platform",IF(M286&lt;=20,"R5 Harden","R6 Launch")))))</f>
        <v>R2 Core Clinic</v>
      </c>
      <c r="O286" s="16" t="n">
        <f aca="false">L286*README!$B$32</f>
        <v>3</v>
      </c>
      <c r="P286" s="11" t="s">
        <v>1665</v>
      </c>
      <c r="Q286" s="11" t="s">
        <v>1666</v>
      </c>
      <c r="R286" s="11" t="s">
        <v>103</v>
      </c>
      <c r="S286" s="11"/>
    </row>
    <row r="287" customFormat="false" ht="23.85" hidden="false" customHeight="false" outlineLevel="0" collapsed="false">
      <c r="A287" s="17" t="s">
        <v>1667</v>
      </c>
      <c r="B287" s="17" t="s">
        <v>1648</v>
      </c>
      <c r="C287" s="17" t="s">
        <v>319</v>
      </c>
      <c r="D287" s="17" t="s">
        <v>1668</v>
      </c>
      <c r="E287" s="17" t="s">
        <v>1669</v>
      </c>
      <c r="F287" s="17"/>
      <c r="G287" s="17" t="s">
        <v>98</v>
      </c>
      <c r="H287" s="17" t="s">
        <v>99</v>
      </c>
      <c r="I287" s="17" t="s">
        <v>319</v>
      </c>
      <c r="J287" s="18" t="s">
        <v>100</v>
      </c>
      <c r="K287" s="18" t="s">
        <v>101</v>
      </c>
      <c r="L287" s="18" t="n">
        <v>5</v>
      </c>
      <c r="M287" s="18" t="n">
        <v>6</v>
      </c>
      <c r="N287" s="17" t="str">
        <f aca="false">IF(M287&lt;=4,"R1 Foundation",IF(M287&lt;=8,"R2 Core Clinic",IF(M287&lt;=13,"R3 Revenue &amp; Messaging",IF(M287&lt;=18,"R4 Patient &amp; Platform",IF(M287&lt;=20,"R5 Harden","R6 Launch")))))</f>
        <v>R2 Core Clinic</v>
      </c>
      <c r="O287" s="19" t="n">
        <f aca="false">L287*README!$B$32</f>
        <v>3</v>
      </c>
      <c r="P287" s="17" t="s">
        <v>120</v>
      </c>
      <c r="Q287" s="17" t="s">
        <v>1670</v>
      </c>
      <c r="R287" s="17" t="s">
        <v>103</v>
      </c>
      <c r="S287" s="17"/>
    </row>
    <row r="288" customFormat="false" ht="23.85" hidden="false" customHeight="false" outlineLevel="0" collapsed="false">
      <c r="A288" s="11" t="s">
        <v>1671</v>
      </c>
      <c r="B288" s="11" t="s">
        <v>1648</v>
      </c>
      <c r="C288" s="11" t="s">
        <v>319</v>
      </c>
      <c r="D288" s="11" t="s">
        <v>1672</v>
      </c>
      <c r="E288" s="11" t="s">
        <v>1673</v>
      </c>
      <c r="F288" s="11"/>
      <c r="G288" s="11" t="s">
        <v>98</v>
      </c>
      <c r="H288" s="11" t="s">
        <v>99</v>
      </c>
      <c r="I288" s="11" t="s">
        <v>319</v>
      </c>
      <c r="J288" s="15" t="s">
        <v>100</v>
      </c>
      <c r="K288" s="15" t="s">
        <v>101</v>
      </c>
      <c r="L288" s="15" t="n">
        <v>8</v>
      </c>
      <c r="M288" s="15" t="n">
        <v>16</v>
      </c>
      <c r="N288" s="11" t="str">
        <f aca="false">IF(M288&lt;=4,"R1 Foundation",IF(M288&lt;=8,"R2 Core Clinic",IF(M288&lt;=13,"R3 Revenue &amp; Messaging",IF(M288&lt;=18,"R4 Patient &amp; Platform",IF(M288&lt;=20,"R5 Harden","R6 Launch")))))</f>
        <v>R4 Patient &amp; Platform</v>
      </c>
      <c r="O288" s="16" t="n">
        <f aca="false">L288*README!$B$32</f>
        <v>4.8</v>
      </c>
      <c r="P288" s="11" t="s">
        <v>1674</v>
      </c>
      <c r="Q288" s="11" t="s">
        <v>1675</v>
      </c>
      <c r="R288" s="11" t="s">
        <v>103</v>
      </c>
      <c r="S288" s="11"/>
    </row>
    <row r="289" customFormat="false" ht="23.85" hidden="false" customHeight="false" outlineLevel="0" collapsed="false">
      <c r="A289" s="17" t="s">
        <v>1676</v>
      </c>
      <c r="B289" s="17" t="s">
        <v>1648</v>
      </c>
      <c r="C289" s="17" t="s">
        <v>319</v>
      </c>
      <c r="D289" s="17" t="s">
        <v>1677</v>
      </c>
      <c r="E289" s="17" t="s">
        <v>1678</v>
      </c>
      <c r="F289" s="17" t="s">
        <v>1679</v>
      </c>
      <c r="G289" s="17" t="s">
        <v>98</v>
      </c>
      <c r="H289" s="17" t="s">
        <v>99</v>
      </c>
      <c r="I289" s="17" t="s">
        <v>319</v>
      </c>
      <c r="J289" s="18" t="s">
        <v>100</v>
      </c>
      <c r="K289" s="18" t="s">
        <v>101</v>
      </c>
      <c r="L289" s="18" t="n">
        <v>8</v>
      </c>
      <c r="M289" s="18" t="n">
        <v>10</v>
      </c>
      <c r="N289" s="17" t="str">
        <f aca="false">IF(M289&lt;=4,"R1 Foundation",IF(M289&lt;=8,"R2 Core Clinic",IF(M289&lt;=13,"R3 Revenue &amp; Messaging",IF(M289&lt;=18,"R4 Patient &amp; Platform",IF(M289&lt;=20,"R5 Harden","R6 Launch")))))</f>
        <v>R3 Revenue &amp; Messaging</v>
      </c>
      <c r="O289" s="19" t="n">
        <f aca="false">L289*README!$B$32</f>
        <v>4.8</v>
      </c>
      <c r="P289" s="17" t="s">
        <v>126</v>
      </c>
      <c r="Q289" s="17" t="s">
        <v>1680</v>
      </c>
      <c r="R289" s="17" t="s">
        <v>103</v>
      </c>
      <c r="S289" s="17"/>
    </row>
    <row r="290" customFormat="false" ht="23.85" hidden="false" customHeight="false" outlineLevel="0" collapsed="false">
      <c r="A290" s="11" t="s">
        <v>1681</v>
      </c>
      <c r="B290" s="11" t="s">
        <v>1648</v>
      </c>
      <c r="C290" s="11" t="s">
        <v>319</v>
      </c>
      <c r="D290" s="11" t="s">
        <v>1682</v>
      </c>
      <c r="E290" s="11" t="s">
        <v>1683</v>
      </c>
      <c r="F290" s="11" t="s">
        <v>1684</v>
      </c>
      <c r="G290" s="11" t="s">
        <v>310</v>
      </c>
      <c r="H290" s="11" t="s">
        <v>310</v>
      </c>
      <c r="I290" s="11" t="s">
        <v>319</v>
      </c>
      <c r="J290" s="15" t="s">
        <v>100</v>
      </c>
      <c r="K290" s="15" t="s">
        <v>101</v>
      </c>
      <c r="L290" s="15" t="n">
        <v>8</v>
      </c>
      <c r="M290" s="15" t="n">
        <v>15</v>
      </c>
      <c r="N290" s="11" t="str">
        <f aca="false">IF(M290&lt;=4,"R1 Foundation",IF(M290&lt;=8,"R2 Core Clinic",IF(M290&lt;=13,"R3 Revenue &amp; Messaging",IF(M290&lt;=18,"R4 Patient &amp; Platform",IF(M290&lt;=20,"R5 Harden","R6 Launch")))))</f>
        <v>R4 Patient &amp; Platform</v>
      </c>
      <c r="O290" s="16" t="n">
        <f aca="false">L290*README!$B$32</f>
        <v>4.8</v>
      </c>
      <c r="P290" s="11" t="s">
        <v>1685</v>
      </c>
      <c r="Q290" s="11" t="s">
        <v>1686</v>
      </c>
      <c r="R290" s="11" t="s">
        <v>103</v>
      </c>
      <c r="S290" s="11"/>
    </row>
    <row r="291" customFormat="false" ht="23.85" hidden="false" customHeight="false" outlineLevel="0" collapsed="false">
      <c r="A291" s="17" t="s">
        <v>1687</v>
      </c>
      <c r="B291" s="17" t="s">
        <v>1648</v>
      </c>
      <c r="C291" s="17" t="s">
        <v>319</v>
      </c>
      <c r="D291" s="17" t="s">
        <v>1688</v>
      </c>
      <c r="E291" s="17" t="s">
        <v>1689</v>
      </c>
      <c r="F291" s="17"/>
      <c r="G291" s="17" t="s">
        <v>98</v>
      </c>
      <c r="H291" s="17" t="s">
        <v>99</v>
      </c>
      <c r="I291" s="17" t="s">
        <v>319</v>
      </c>
      <c r="J291" s="18" t="s">
        <v>100</v>
      </c>
      <c r="K291" s="18" t="s">
        <v>101</v>
      </c>
      <c r="L291" s="18" t="n">
        <v>5</v>
      </c>
      <c r="M291" s="18" t="n">
        <v>6</v>
      </c>
      <c r="N291" s="17" t="str">
        <f aca="false">IF(M291&lt;=4,"R1 Foundation",IF(M291&lt;=8,"R2 Core Clinic",IF(M291&lt;=13,"R3 Revenue &amp; Messaging",IF(M291&lt;=18,"R4 Patient &amp; Platform",IF(M291&lt;=20,"R5 Harden","R6 Launch")))))</f>
        <v>R2 Core Clinic</v>
      </c>
      <c r="O291" s="19" t="n">
        <f aca="false">L291*README!$B$32</f>
        <v>3</v>
      </c>
      <c r="P291" s="17" t="s">
        <v>1690</v>
      </c>
      <c r="Q291" s="17" t="s">
        <v>1691</v>
      </c>
      <c r="R291" s="17" t="s">
        <v>103</v>
      </c>
      <c r="S291" s="17"/>
    </row>
    <row r="292" customFormat="false" ht="23.85" hidden="false" customHeight="false" outlineLevel="0" collapsed="false">
      <c r="A292" s="11" t="s">
        <v>1692</v>
      </c>
      <c r="B292" s="11" t="s">
        <v>1648</v>
      </c>
      <c r="C292" s="11" t="s">
        <v>319</v>
      </c>
      <c r="D292" s="11" t="s">
        <v>1693</v>
      </c>
      <c r="E292" s="11" t="s">
        <v>1694</v>
      </c>
      <c r="F292" s="11"/>
      <c r="G292" s="11" t="s">
        <v>98</v>
      </c>
      <c r="H292" s="11" t="s">
        <v>99</v>
      </c>
      <c r="I292" s="11" t="s">
        <v>319</v>
      </c>
      <c r="J292" s="15" t="s">
        <v>100</v>
      </c>
      <c r="K292" s="15" t="s">
        <v>101</v>
      </c>
      <c r="L292" s="15" t="n">
        <v>3</v>
      </c>
      <c r="M292" s="15" t="n">
        <v>9</v>
      </c>
      <c r="N292" s="11" t="str">
        <f aca="false">IF(M292&lt;=4,"R1 Foundation",IF(M292&lt;=8,"R2 Core Clinic",IF(M292&lt;=13,"R3 Revenue &amp; Messaging",IF(M292&lt;=18,"R4 Patient &amp; Platform",IF(M292&lt;=20,"R5 Harden","R6 Launch")))))</f>
        <v>R3 Revenue &amp; Messaging</v>
      </c>
      <c r="O292" s="16" t="n">
        <f aca="false">L292*README!$B$32</f>
        <v>1.8</v>
      </c>
      <c r="P292" s="11" t="s">
        <v>186</v>
      </c>
      <c r="Q292" s="11" t="s">
        <v>1695</v>
      </c>
      <c r="R292" s="11" t="s">
        <v>103</v>
      </c>
      <c r="S292" s="11"/>
    </row>
    <row r="293" customFormat="false" ht="23.85" hidden="false" customHeight="false" outlineLevel="0" collapsed="false">
      <c r="A293" s="17" t="s">
        <v>515</v>
      </c>
      <c r="B293" s="17" t="s">
        <v>1648</v>
      </c>
      <c r="C293" s="17" t="s">
        <v>319</v>
      </c>
      <c r="D293" s="17" t="s">
        <v>1696</v>
      </c>
      <c r="E293" s="17" t="s">
        <v>1697</v>
      </c>
      <c r="F293" s="17" t="s">
        <v>507</v>
      </c>
      <c r="G293" s="17" t="s">
        <v>98</v>
      </c>
      <c r="H293" s="17" t="s">
        <v>99</v>
      </c>
      <c r="I293" s="17" t="s">
        <v>319</v>
      </c>
      <c r="J293" s="18" t="s">
        <v>100</v>
      </c>
      <c r="K293" s="18" t="s">
        <v>101</v>
      </c>
      <c r="L293" s="18" t="n">
        <v>5</v>
      </c>
      <c r="M293" s="18" t="n">
        <v>12</v>
      </c>
      <c r="N293" s="17" t="str">
        <f aca="false">IF(M293&lt;=4,"R1 Foundation",IF(M293&lt;=8,"R2 Core Clinic",IF(M293&lt;=13,"R3 Revenue &amp; Messaging",IF(M293&lt;=18,"R4 Patient &amp; Platform",IF(M293&lt;=20,"R5 Harden","R6 Launch")))))</f>
        <v>R3 Revenue &amp; Messaging</v>
      </c>
      <c r="O293" s="19" t="n">
        <f aca="false">L293*README!$B$32</f>
        <v>3</v>
      </c>
      <c r="P293" s="17" t="s">
        <v>145</v>
      </c>
      <c r="Q293" s="17" t="s">
        <v>1698</v>
      </c>
      <c r="R293" s="17" t="s">
        <v>103</v>
      </c>
      <c r="S293" s="17"/>
    </row>
    <row r="294" customFormat="false" ht="23.85" hidden="false" customHeight="false" outlineLevel="0" collapsed="false">
      <c r="A294" s="11" t="s">
        <v>1459</v>
      </c>
      <c r="B294" s="11" t="s">
        <v>1648</v>
      </c>
      <c r="C294" s="11" t="s">
        <v>319</v>
      </c>
      <c r="D294" s="11" t="s">
        <v>1699</v>
      </c>
      <c r="E294" s="11" t="s">
        <v>1700</v>
      </c>
      <c r="F294" s="11" t="s">
        <v>1701</v>
      </c>
      <c r="G294" s="11" t="s">
        <v>107</v>
      </c>
      <c r="H294" s="11" t="s">
        <v>99</v>
      </c>
      <c r="I294" s="11" t="s">
        <v>319</v>
      </c>
      <c r="J294" s="15" t="s">
        <v>100</v>
      </c>
      <c r="K294" s="15" t="s">
        <v>101</v>
      </c>
      <c r="L294" s="15" t="n">
        <v>8</v>
      </c>
      <c r="M294" s="15" t="n">
        <v>16</v>
      </c>
      <c r="N294" s="11" t="str">
        <f aca="false">IF(M294&lt;=4,"R1 Foundation",IF(M294&lt;=8,"R2 Core Clinic",IF(M294&lt;=13,"R3 Revenue &amp; Messaging",IF(M294&lt;=18,"R4 Patient &amp; Platform",IF(M294&lt;=20,"R5 Harden","R6 Launch")))))</f>
        <v>R4 Patient &amp; Platform</v>
      </c>
      <c r="O294" s="16" t="n">
        <f aca="false">L294*README!$B$32</f>
        <v>4.8</v>
      </c>
      <c r="P294" s="11" t="s">
        <v>1702</v>
      </c>
      <c r="Q294" s="11" t="s">
        <v>1703</v>
      </c>
      <c r="R294" s="11" t="s">
        <v>103</v>
      </c>
      <c r="S294" s="11"/>
    </row>
    <row r="295" customFormat="false" ht="23.85" hidden="false" customHeight="false" outlineLevel="0" collapsed="false">
      <c r="A295" s="17" t="s">
        <v>1704</v>
      </c>
      <c r="B295" s="17" t="s">
        <v>1648</v>
      </c>
      <c r="C295" s="17" t="s">
        <v>319</v>
      </c>
      <c r="D295" s="17" t="s">
        <v>1705</v>
      </c>
      <c r="E295" s="17" t="s">
        <v>1706</v>
      </c>
      <c r="F295" s="17" t="s">
        <v>1707</v>
      </c>
      <c r="G295" s="17" t="s">
        <v>98</v>
      </c>
      <c r="H295" s="17" t="s">
        <v>99</v>
      </c>
      <c r="I295" s="17" t="s">
        <v>319</v>
      </c>
      <c r="J295" s="18" t="s">
        <v>100</v>
      </c>
      <c r="K295" s="18" t="s">
        <v>101</v>
      </c>
      <c r="L295" s="18" t="n">
        <v>13</v>
      </c>
      <c r="M295" s="18" t="n">
        <v>20</v>
      </c>
      <c r="N295" s="17" t="str">
        <f aca="false">IF(M295&lt;=4,"R1 Foundation",IF(M295&lt;=8,"R2 Core Clinic",IF(M295&lt;=13,"R3 Revenue &amp; Messaging",IF(M295&lt;=18,"R4 Patient &amp; Platform",IF(M295&lt;=20,"R5 Harden","R6 Launch")))))</f>
        <v>R5 Harden</v>
      </c>
      <c r="O295" s="19" t="n">
        <f aca="false">L295*README!$B$32</f>
        <v>7.8</v>
      </c>
      <c r="P295" s="17" t="s">
        <v>1708</v>
      </c>
      <c r="Q295" s="17" t="s">
        <v>1709</v>
      </c>
      <c r="R295" s="17" t="s">
        <v>103</v>
      </c>
      <c r="S295" s="17"/>
    </row>
    <row r="296" customFormat="false" ht="23.85" hidden="false" customHeight="false" outlineLevel="0" collapsed="false">
      <c r="A296" s="11" t="s">
        <v>1710</v>
      </c>
      <c r="B296" s="11" t="s">
        <v>1648</v>
      </c>
      <c r="C296" s="11" t="s">
        <v>319</v>
      </c>
      <c r="D296" s="11" t="s">
        <v>1711</v>
      </c>
      <c r="E296" s="11" t="s">
        <v>1712</v>
      </c>
      <c r="F296" s="11" t="s">
        <v>1707</v>
      </c>
      <c r="G296" s="11" t="s">
        <v>98</v>
      </c>
      <c r="H296" s="11" t="s">
        <v>99</v>
      </c>
      <c r="I296" s="11" t="s">
        <v>319</v>
      </c>
      <c r="J296" s="15" t="s">
        <v>100</v>
      </c>
      <c r="K296" s="15" t="s">
        <v>101</v>
      </c>
      <c r="L296" s="15" t="n">
        <v>8</v>
      </c>
      <c r="M296" s="15" t="n">
        <v>20</v>
      </c>
      <c r="N296" s="11" t="str">
        <f aca="false">IF(M296&lt;=4,"R1 Foundation",IF(M296&lt;=8,"R2 Core Clinic",IF(M296&lt;=13,"R3 Revenue &amp; Messaging",IF(M296&lt;=18,"R4 Patient &amp; Platform",IF(M296&lt;=20,"R5 Harden","R6 Launch")))))</f>
        <v>R5 Harden</v>
      </c>
      <c r="O296" s="16" t="n">
        <f aca="false">L296*README!$B$32</f>
        <v>4.8</v>
      </c>
      <c r="P296" s="11" t="s">
        <v>1713</v>
      </c>
      <c r="Q296" s="11" t="s">
        <v>1714</v>
      </c>
      <c r="R296" s="11" t="s">
        <v>103</v>
      </c>
      <c r="S296" s="11"/>
    </row>
    <row r="297" customFormat="false" ht="23.85" hidden="false" customHeight="false" outlineLevel="0" collapsed="false">
      <c r="A297" s="17" t="s">
        <v>1715</v>
      </c>
      <c r="B297" s="17" t="s">
        <v>1648</v>
      </c>
      <c r="C297" s="17" t="s">
        <v>319</v>
      </c>
      <c r="D297" s="17" t="s">
        <v>1716</v>
      </c>
      <c r="E297" s="17" t="s">
        <v>1717</v>
      </c>
      <c r="F297" s="17"/>
      <c r="G297" s="17" t="s">
        <v>107</v>
      </c>
      <c r="H297" s="17" t="s">
        <v>99</v>
      </c>
      <c r="I297" s="17" t="s">
        <v>319</v>
      </c>
      <c r="J297" s="18" t="s">
        <v>100</v>
      </c>
      <c r="K297" s="18" t="s">
        <v>101</v>
      </c>
      <c r="L297" s="18" t="n">
        <v>8</v>
      </c>
      <c r="M297" s="18" t="n">
        <v>19</v>
      </c>
      <c r="N297" s="17" t="str">
        <f aca="false">IF(M297&lt;=4,"R1 Foundation",IF(M297&lt;=8,"R2 Core Clinic",IF(M297&lt;=13,"R3 Revenue &amp; Messaging",IF(M297&lt;=18,"R4 Patient &amp; Platform",IF(M297&lt;=20,"R5 Harden","R6 Launch")))))</f>
        <v>R5 Harden</v>
      </c>
      <c r="O297" s="19" t="n">
        <f aca="false">L297*README!$B$32</f>
        <v>4.8</v>
      </c>
      <c r="P297" s="17" t="s">
        <v>1718</v>
      </c>
      <c r="Q297" s="17" t="s">
        <v>1719</v>
      </c>
      <c r="R297" s="17" t="s">
        <v>103</v>
      </c>
      <c r="S297" s="17"/>
    </row>
    <row r="298" customFormat="false" ht="23.85" hidden="false" customHeight="false" outlineLevel="0" collapsed="false">
      <c r="A298" s="11" t="s">
        <v>1720</v>
      </c>
      <c r="B298" s="11" t="s">
        <v>1721</v>
      </c>
      <c r="C298" s="11" t="s">
        <v>149</v>
      </c>
      <c r="D298" s="11" t="s">
        <v>1722</v>
      </c>
      <c r="E298" s="11" t="s">
        <v>1723</v>
      </c>
      <c r="F298" s="11"/>
      <c r="G298" s="11" t="s">
        <v>98</v>
      </c>
      <c r="H298" s="11" t="s">
        <v>99</v>
      </c>
      <c r="I298" s="11" t="s">
        <v>149</v>
      </c>
      <c r="J298" s="15" t="s">
        <v>100</v>
      </c>
      <c r="K298" s="15" t="s">
        <v>101</v>
      </c>
      <c r="L298" s="15" t="n">
        <v>3</v>
      </c>
      <c r="M298" s="15" t="n">
        <v>1</v>
      </c>
      <c r="N298" s="11" t="str">
        <f aca="false">IF(M298&lt;=4,"R1 Foundation",IF(M298&lt;=8,"R2 Core Clinic",IF(M298&lt;=13,"R3 Revenue &amp; Messaging",IF(M298&lt;=18,"R4 Patient &amp; Platform",IF(M298&lt;=20,"R5 Harden","R6 Launch")))))</f>
        <v>R1 Foundation</v>
      </c>
      <c r="O298" s="16" t="n">
        <f aca="false">L298*README!$B$32</f>
        <v>1.8</v>
      </c>
      <c r="P298" s="11"/>
      <c r="Q298" s="11" t="s">
        <v>1724</v>
      </c>
      <c r="R298" s="11" t="s">
        <v>103</v>
      </c>
      <c r="S298" s="11"/>
    </row>
    <row r="299" customFormat="false" ht="23.85" hidden="false" customHeight="false" outlineLevel="0" collapsed="false">
      <c r="A299" s="17" t="s">
        <v>1690</v>
      </c>
      <c r="B299" s="17" t="s">
        <v>1721</v>
      </c>
      <c r="C299" s="17" t="s">
        <v>149</v>
      </c>
      <c r="D299" s="17" t="s">
        <v>1725</v>
      </c>
      <c r="E299" s="17" t="s">
        <v>1726</v>
      </c>
      <c r="F299" s="17"/>
      <c r="G299" s="17" t="s">
        <v>98</v>
      </c>
      <c r="H299" s="17" t="s">
        <v>99</v>
      </c>
      <c r="I299" s="17" t="s">
        <v>149</v>
      </c>
      <c r="J299" s="18" t="s">
        <v>100</v>
      </c>
      <c r="K299" s="18" t="s">
        <v>101</v>
      </c>
      <c r="L299" s="18" t="n">
        <v>5</v>
      </c>
      <c r="M299" s="18" t="n">
        <v>1</v>
      </c>
      <c r="N299" s="17" t="str">
        <f aca="false">IF(M299&lt;=4,"R1 Foundation",IF(M299&lt;=8,"R2 Core Clinic",IF(M299&lt;=13,"R3 Revenue &amp; Messaging",IF(M299&lt;=18,"R4 Patient &amp; Platform",IF(M299&lt;=20,"R5 Harden","R6 Launch")))))</f>
        <v>R1 Foundation</v>
      </c>
      <c r="O299" s="19" t="n">
        <f aca="false">L299*README!$B$32</f>
        <v>3</v>
      </c>
      <c r="P299" s="17" t="s">
        <v>1720</v>
      </c>
      <c r="Q299" s="17" t="s">
        <v>1727</v>
      </c>
      <c r="R299" s="17" t="s">
        <v>103</v>
      </c>
      <c r="S299" s="17"/>
    </row>
    <row r="300" customFormat="false" ht="23.85" hidden="false" customHeight="false" outlineLevel="0" collapsed="false">
      <c r="A300" s="11" t="s">
        <v>150</v>
      </c>
      <c r="B300" s="11" t="s">
        <v>1721</v>
      </c>
      <c r="C300" s="11" t="s">
        <v>149</v>
      </c>
      <c r="D300" s="11" t="s">
        <v>1728</v>
      </c>
      <c r="E300" s="11" t="s">
        <v>1729</v>
      </c>
      <c r="F300" s="11" t="s">
        <v>1655</v>
      </c>
      <c r="G300" s="11" t="s">
        <v>98</v>
      </c>
      <c r="H300" s="11" t="s">
        <v>99</v>
      </c>
      <c r="I300" s="11" t="s">
        <v>149</v>
      </c>
      <c r="J300" s="15" t="s">
        <v>100</v>
      </c>
      <c r="K300" s="15" t="s">
        <v>101</v>
      </c>
      <c r="L300" s="15" t="n">
        <v>8</v>
      </c>
      <c r="M300" s="15" t="n">
        <v>2</v>
      </c>
      <c r="N300" s="11" t="str">
        <f aca="false">IF(M300&lt;=4,"R1 Foundation",IF(M300&lt;=8,"R2 Core Clinic",IF(M300&lt;=13,"R3 Revenue &amp; Messaging",IF(M300&lt;=18,"R4 Patient &amp; Platform",IF(M300&lt;=20,"R5 Harden","R6 Launch")))))</f>
        <v>R1 Foundation</v>
      </c>
      <c r="O300" s="16" t="n">
        <f aca="false">L300*README!$B$32</f>
        <v>4.8</v>
      </c>
      <c r="P300" s="11" t="s">
        <v>92</v>
      </c>
      <c r="Q300" s="11" t="s">
        <v>1730</v>
      </c>
      <c r="R300" s="11" t="s">
        <v>103</v>
      </c>
      <c r="S300" s="11"/>
    </row>
    <row r="301" customFormat="false" ht="23.85" hidden="false" customHeight="false" outlineLevel="0" collapsed="false">
      <c r="A301" s="17" t="s">
        <v>1731</v>
      </c>
      <c r="B301" s="17" t="s">
        <v>1721</v>
      </c>
      <c r="C301" s="17" t="s">
        <v>149</v>
      </c>
      <c r="D301" s="17" t="s">
        <v>1732</v>
      </c>
      <c r="E301" s="17" t="s">
        <v>1733</v>
      </c>
      <c r="F301" s="17"/>
      <c r="G301" s="17" t="s">
        <v>98</v>
      </c>
      <c r="H301" s="17" t="s">
        <v>99</v>
      </c>
      <c r="I301" s="17" t="s">
        <v>149</v>
      </c>
      <c r="J301" s="18" t="s">
        <v>100</v>
      </c>
      <c r="K301" s="18" t="s">
        <v>101</v>
      </c>
      <c r="L301" s="18" t="n">
        <v>8</v>
      </c>
      <c r="M301" s="18" t="n">
        <v>3</v>
      </c>
      <c r="N301" s="17" t="str">
        <f aca="false">IF(M301&lt;=4,"R1 Foundation",IF(M301&lt;=8,"R2 Core Clinic",IF(M301&lt;=13,"R3 Revenue &amp; Messaging",IF(M301&lt;=18,"R4 Patient &amp; Platform",IF(M301&lt;=20,"R5 Harden","R6 Launch")))))</f>
        <v>R1 Foundation</v>
      </c>
      <c r="O301" s="19" t="n">
        <f aca="false">L301*README!$B$32</f>
        <v>4.8</v>
      </c>
      <c r="P301" s="17" t="s">
        <v>150</v>
      </c>
      <c r="Q301" s="17" t="s">
        <v>1734</v>
      </c>
      <c r="R301" s="17" t="s">
        <v>103</v>
      </c>
      <c r="S301" s="17"/>
    </row>
    <row r="302" customFormat="false" ht="23.85" hidden="false" customHeight="false" outlineLevel="0" collapsed="false">
      <c r="A302" s="11" t="s">
        <v>1735</v>
      </c>
      <c r="B302" s="11" t="s">
        <v>1721</v>
      </c>
      <c r="C302" s="11" t="s">
        <v>149</v>
      </c>
      <c r="D302" s="11" t="s">
        <v>1736</v>
      </c>
      <c r="E302" s="11" t="s">
        <v>1737</v>
      </c>
      <c r="F302" s="11"/>
      <c r="G302" s="11" t="s">
        <v>98</v>
      </c>
      <c r="H302" s="11" t="s">
        <v>99</v>
      </c>
      <c r="I302" s="11" t="s">
        <v>149</v>
      </c>
      <c r="J302" s="15" t="s">
        <v>100</v>
      </c>
      <c r="K302" s="15" t="s">
        <v>101</v>
      </c>
      <c r="L302" s="15" t="n">
        <v>5</v>
      </c>
      <c r="M302" s="15" t="n">
        <v>3</v>
      </c>
      <c r="N302" s="11" t="str">
        <f aca="false">IF(M302&lt;=4,"R1 Foundation",IF(M302&lt;=8,"R2 Core Clinic",IF(M302&lt;=13,"R3 Revenue &amp; Messaging",IF(M302&lt;=18,"R4 Patient &amp; Platform",IF(M302&lt;=20,"R5 Harden","R6 Launch")))))</f>
        <v>R1 Foundation</v>
      </c>
      <c r="O302" s="16" t="n">
        <f aca="false">L302*README!$B$32</f>
        <v>3</v>
      </c>
      <c r="P302" s="11" t="s">
        <v>150</v>
      </c>
      <c r="Q302" s="11" t="s">
        <v>1738</v>
      </c>
      <c r="R302" s="11" t="s">
        <v>103</v>
      </c>
      <c r="S302" s="11"/>
    </row>
    <row r="303" customFormat="false" ht="15" hidden="false" customHeight="false" outlineLevel="0" collapsed="false">
      <c r="A303" s="17" t="s">
        <v>1739</v>
      </c>
      <c r="B303" s="17" t="s">
        <v>1721</v>
      </c>
      <c r="C303" s="17" t="s">
        <v>149</v>
      </c>
      <c r="D303" s="17" t="s">
        <v>1740</v>
      </c>
      <c r="E303" s="17" t="s">
        <v>1741</v>
      </c>
      <c r="F303" s="17"/>
      <c r="G303" s="17" t="s">
        <v>98</v>
      </c>
      <c r="H303" s="17" t="s">
        <v>99</v>
      </c>
      <c r="I303" s="17" t="s">
        <v>149</v>
      </c>
      <c r="J303" s="18" t="s">
        <v>100</v>
      </c>
      <c r="K303" s="18" t="s">
        <v>101</v>
      </c>
      <c r="L303" s="18" t="n">
        <v>8</v>
      </c>
      <c r="M303" s="18" t="n">
        <v>5</v>
      </c>
      <c r="N303" s="17" t="str">
        <f aca="false">IF(M303&lt;=4,"R1 Foundation",IF(M303&lt;=8,"R2 Core Clinic",IF(M303&lt;=13,"R3 Revenue &amp; Messaging",IF(M303&lt;=18,"R4 Patient &amp; Platform",IF(M303&lt;=20,"R5 Harden","R6 Launch")))))</f>
        <v>R2 Core Clinic</v>
      </c>
      <c r="O303" s="19" t="n">
        <f aca="false">L303*README!$B$32</f>
        <v>4.8</v>
      </c>
      <c r="P303" s="17" t="s">
        <v>1742</v>
      </c>
      <c r="Q303" s="17" t="s">
        <v>1743</v>
      </c>
      <c r="R303" s="17" t="s">
        <v>103</v>
      </c>
      <c r="S303" s="17"/>
    </row>
    <row r="304" customFormat="false" ht="23.85" hidden="false" customHeight="false" outlineLevel="0" collapsed="false">
      <c r="A304" s="11" t="s">
        <v>1744</v>
      </c>
      <c r="B304" s="11" t="s">
        <v>1721</v>
      </c>
      <c r="C304" s="11" t="s">
        <v>149</v>
      </c>
      <c r="D304" s="11" t="s">
        <v>1745</v>
      </c>
      <c r="E304" s="11" t="s">
        <v>1746</v>
      </c>
      <c r="F304" s="11"/>
      <c r="G304" s="11" t="s">
        <v>98</v>
      </c>
      <c r="H304" s="11" t="s">
        <v>99</v>
      </c>
      <c r="I304" s="11" t="s">
        <v>149</v>
      </c>
      <c r="J304" s="15" t="s">
        <v>100</v>
      </c>
      <c r="K304" s="15" t="s">
        <v>101</v>
      </c>
      <c r="L304" s="15" t="n">
        <v>5</v>
      </c>
      <c r="M304" s="15" t="n">
        <v>6</v>
      </c>
      <c r="N304" s="11" t="str">
        <f aca="false">IF(M304&lt;=4,"R1 Foundation",IF(M304&lt;=8,"R2 Core Clinic",IF(M304&lt;=13,"R3 Revenue &amp; Messaging",IF(M304&lt;=18,"R4 Patient &amp; Platform",IF(M304&lt;=20,"R5 Harden","R6 Launch")))))</f>
        <v>R2 Core Clinic</v>
      </c>
      <c r="O304" s="16" t="n">
        <f aca="false">L304*README!$B$32</f>
        <v>3</v>
      </c>
      <c r="P304" s="11" t="s">
        <v>1747</v>
      </c>
      <c r="Q304" s="11" t="s">
        <v>1748</v>
      </c>
      <c r="R304" s="11" t="s">
        <v>103</v>
      </c>
      <c r="S304" s="11"/>
    </row>
    <row r="305" customFormat="false" ht="23.85" hidden="false" customHeight="false" outlineLevel="0" collapsed="false">
      <c r="A305" s="17" t="s">
        <v>1749</v>
      </c>
      <c r="B305" s="17" t="s">
        <v>1721</v>
      </c>
      <c r="C305" s="17" t="s">
        <v>149</v>
      </c>
      <c r="D305" s="17" t="s">
        <v>1750</v>
      </c>
      <c r="E305" s="17" t="s">
        <v>1751</v>
      </c>
      <c r="F305" s="17"/>
      <c r="G305" s="17" t="s">
        <v>98</v>
      </c>
      <c r="H305" s="17" t="s">
        <v>99</v>
      </c>
      <c r="I305" s="17" t="s">
        <v>149</v>
      </c>
      <c r="J305" s="18" t="s">
        <v>100</v>
      </c>
      <c r="K305" s="18" t="s">
        <v>101</v>
      </c>
      <c r="L305" s="18" t="n">
        <v>8</v>
      </c>
      <c r="M305" s="18" t="n">
        <v>7</v>
      </c>
      <c r="N305" s="17" t="str">
        <f aca="false">IF(M305&lt;=4,"R1 Foundation",IF(M305&lt;=8,"R2 Core Clinic",IF(M305&lt;=13,"R3 Revenue &amp; Messaging",IF(M305&lt;=18,"R4 Patient &amp; Platform",IF(M305&lt;=20,"R5 Harden","R6 Launch")))))</f>
        <v>R2 Core Clinic</v>
      </c>
      <c r="O305" s="19" t="n">
        <f aca="false">L305*README!$B$32</f>
        <v>4.8</v>
      </c>
      <c r="P305" s="17" t="s">
        <v>1731</v>
      </c>
      <c r="Q305" s="17" t="s">
        <v>1752</v>
      </c>
      <c r="R305" s="17" t="s">
        <v>103</v>
      </c>
      <c r="S305" s="17"/>
    </row>
    <row r="306" customFormat="false" ht="23.85" hidden="false" customHeight="false" outlineLevel="0" collapsed="false">
      <c r="A306" s="11" t="s">
        <v>1753</v>
      </c>
      <c r="B306" s="11" t="s">
        <v>1721</v>
      </c>
      <c r="C306" s="11" t="s">
        <v>149</v>
      </c>
      <c r="D306" s="11" t="s">
        <v>1754</v>
      </c>
      <c r="E306" s="11" t="s">
        <v>1755</v>
      </c>
      <c r="F306" s="11"/>
      <c r="G306" s="11" t="s">
        <v>98</v>
      </c>
      <c r="H306" s="11" t="s">
        <v>99</v>
      </c>
      <c r="I306" s="11" t="s">
        <v>149</v>
      </c>
      <c r="J306" s="15" t="s">
        <v>100</v>
      </c>
      <c r="K306" s="15" t="s">
        <v>101</v>
      </c>
      <c r="L306" s="15" t="n">
        <v>5</v>
      </c>
      <c r="M306" s="15" t="n">
        <v>9</v>
      </c>
      <c r="N306" s="11" t="str">
        <f aca="false">IF(M306&lt;=4,"R1 Foundation",IF(M306&lt;=8,"R2 Core Clinic",IF(M306&lt;=13,"R3 Revenue &amp; Messaging",IF(M306&lt;=18,"R4 Patient &amp; Platform",IF(M306&lt;=20,"R5 Harden","R6 Launch")))))</f>
        <v>R3 Revenue &amp; Messaging</v>
      </c>
      <c r="O306" s="16" t="n">
        <f aca="false">L306*README!$B$32</f>
        <v>3</v>
      </c>
      <c r="P306" s="11" t="s">
        <v>1749</v>
      </c>
      <c r="Q306" s="11" t="s">
        <v>1756</v>
      </c>
      <c r="R306" s="11" t="s">
        <v>103</v>
      </c>
      <c r="S306" s="11"/>
    </row>
    <row r="307" customFormat="false" ht="23.85" hidden="false" customHeight="false" outlineLevel="0" collapsed="false">
      <c r="A307" s="17" t="s">
        <v>1718</v>
      </c>
      <c r="B307" s="17" t="s">
        <v>1721</v>
      </c>
      <c r="C307" s="17" t="s">
        <v>149</v>
      </c>
      <c r="D307" s="17" t="s">
        <v>1757</v>
      </c>
      <c r="E307" s="17" t="s">
        <v>1758</v>
      </c>
      <c r="F307" s="17" t="s">
        <v>1655</v>
      </c>
      <c r="G307" s="17" t="s">
        <v>98</v>
      </c>
      <c r="H307" s="17" t="s">
        <v>99</v>
      </c>
      <c r="I307" s="17" t="s">
        <v>149</v>
      </c>
      <c r="J307" s="18" t="s">
        <v>100</v>
      </c>
      <c r="K307" s="18" t="s">
        <v>101</v>
      </c>
      <c r="L307" s="18" t="n">
        <v>5</v>
      </c>
      <c r="M307" s="18" t="n">
        <v>8</v>
      </c>
      <c r="N307" s="17" t="str">
        <f aca="false">IF(M307&lt;=4,"R1 Foundation",IF(M307&lt;=8,"R2 Core Clinic",IF(M307&lt;=13,"R3 Revenue &amp; Messaging",IF(M307&lt;=18,"R4 Patient &amp; Platform",IF(M307&lt;=20,"R5 Harden","R6 Launch")))))</f>
        <v>R2 Core Clinic</v>
      </c>
      <c r="O307" s="19" t="n">
        <f aca="false">L307*README!$B$32</f>
        <v>3</v>
      </c>
      <c r="P307" s="17" t="s">
        <v>1759</v>
      </c>
      <c r="Q307" s="17" t="s">
        <v>1760</v>
      </c>
      <c r="R307" s="17" t="s">
        <v>103</v>
      </c>
      <c r="S307" s="17"/>
    </row>
    <row r="308" customFormat="false" ht="23.85" hidden="false" customHeight="false" outlineLevel="0" collapsed="false">
      <c r="A308" s="11" t="s">
        <v>1761</v>
      </c>
      <c r="B308" s="11" t="s">
        <v>1721</v>
      </c>
      <c r="C308" s="11" t="s">
        <v>149</v>
      </c>
      <c r="D308" s="11" t="s">
        <v>1762</v>
      </c>
      <c r="E308" s="11" t="s">
        <v>1763</v>
      </c>
      <c r="F308" s="11"/>
      <c r="G308" s="11" t="s">
        <v>98</v>
      </c>
      <c r="H308" s="11" t="s">
        <v>99</v>
      </c>
      <c r="I308" s="11" t="s">
        <v>149</v>
      </c>
      <c r="J308" s="15" t="s">
        <v>100</v>
      </c>
      <c r="K308" s="15" t="s">
        <v>101</v>
      </c>
      <c r="L308" s="15" t="n">
        <v>8</v>
      </c>
      <c r="M308" s="15" t="n">
        <v>18</v>
      </c>
      <c r="N308" s="11" t="str">
        <f aca="false">IF(M308&lt;=4,"R1 Foundation",IF(M308&lt;=8,"R2 Core Clinic",IF(M308&lt;=13,"R3 Revenue &amp; Messaging",IF(M308&lt;=18,"R4 Patient &amp; Platform",IF(M308&lt;=20,"R5 Harden","R6 Launch")))))</f>
        <v>R4 Patient &amp; Platform</v>
      </c>
      <c r="O308" s="16" t="n">
        <f aca="false">L308*README!$B$32</f>
        <v>4.8</v>
      </c>
      <c r="P308" s="11" t="s">
        <v>1764</v>
      </c>
      <c r="Q308" s="11" t="s">
        <v>1765</v>
      </c>
      <c r="R308" s="11" t="s">
        <v>103</v>
      </c>
      <c r="S308" s="11"/>
    </row>
    <row r="309" customFormat="false" ht="23.85" hidden="false" customHeight="false" outlineLevel="0" collapsed="false">
      <c r="A309" s="17" t="s">
        <v>1766</v>
      </c>
      <c r="B309" s="17" t="s">
        <v>1721</v>
      </c>
      <c r="C309" s="17" t="s">
        <v>149</v>
      </c>
      <c r="D309" s="17" t="s">
        <v>1767</v>
      </c>
      <c r="E309" s="17" t="s">
        <v>1768</v>
      </c>
      <c r="F309" s="17" t="s">
        <v>1769</v>
      </c>
      <c r="G309" s="17" t="s">
        <v>98</v>
      </c>
      <c r="H309" s="17" t="s">
        <v>99</v>
      </c>
      <c r="I309" s="17" t="s">
        <v>149</v>
      </c>
      <c r="J309" s="18" t="s">
        <v>100</v>
      </c>
      <c r="K309" s="18" t="s">
        <v>101</v>
      </c>
      <c r="L309" s="18" t="n">
        <v>8</v>
      </c>
      <c r="M309" s="18" t="n">
        <v>8</v>
      </c>
      <c r="N309" s="17" t="str">
        <f aca="false">IF(M309&lt;=4,"R1 Foundation",IF(M309&lt;=8,"R2 Core Clinic",IF(M309&lt;=13,"R3 Revenue &amp; Messaging",IF(M309&lt;=18,"R4 Patient &amp; Platform",IF(M309&lt;=20,"R5 Harden","R6 Launch")))))</f>
        <v>R2 Core Clinic</v>
      </c>
      <c r="O309" s="19" t="n">
        <f aca="false">L309*README!$B$32</f>
        <v>4.8</v>
      </c>
      <c r="P309" s="17" t="s">
        <v>1770</v>
      </c>
      <c r="Q309" s="17" t="s">
        <v>1771</v>
      </c>
      <c r="R309" s="17" t="s">
        <v>103</v>
      </c>
      <c r="S309" s="17"/>
    </row>
    <row r="310" customFormat="false" ht="23.85" hidden="false" customHeight="false" outlineLevel="0" collapsed="false">
      <c r="A310" s="11" t="s">
        <v>1772</v>
      </c>
      <c r="B310" s="11" t="s">
        <v>1721</v>
      </c>
      <c r="C310" s="11" t="s">
        <v>149</v>
      </c>
      <c r="D310" s="11" t="s">
        <v>1773</v>
      </c>
      <c r="E310" s="11" t="s">
        <v>1774</v>
      </c>
      <c r="F310" s="11"/>
      <c r="G310" s="11" t="s">
        <v>107</v>
      </c>
      <c r="H310" s="11" t="s">
        <v>99</v>
      </c>
      <c r="I310" s="11" t="s">
        <v>149</v>
      </c>
      <c r="J310" s="15" t="s">
        <v>130</v>
      </c>
      <c r="K310" s="15" t="s">
        <v>101</v>
      </c>
      <c r="L310" s="15" t="n">
        <v>3</v>
      </c>
      <c r="M310" s="15" t="n">
        <v>18</v>
      </c>
      <c r="N310" s="11" t="str">
        <f aca="false">IF(M310&lt;=4,"R1 Foundation",IF(M310&lt;=8,"R2 Core Clinic",IF(M310&lt;=13,"R3 Revenue &amp; Messaging",IF(M310&lt;=18,"R4 Patient &amp; Platform",IF(M310&lt;=20,"R5 Harden","R6 Launch")))))</f>
        <v>R4 Patient &amp; Platform</v>
      </c>
      <c r="O310" s="16" t="n">
        <f aca="false">L310*README!$B$32</f>
        <v>1.8</v>
      </c>
      <c r="P310" s="11" t="s">
        <v>1749</v>
      </c>
      <c r="Q310" s="11" t="s">
        <v>1775</v>
      </c>
      <c r="R310" s="11" t="s">
        <v>103</v>
      </c>
      <c r="S310" s="11"/>
    </row>
    <row r="311" customFormat="false" ht="23.85" hidden="false" customHeight="false" outlineLevel="0" collapsed="false">
      <c r="A311" s="17" t="s">
        <v>1776</v>
      </c>
      <c r="B311" s="17" t="s">
        <v>1721</v>
      </c>
      <c r="C311" s="17" t="s">
        <v>149</v>
      </c>
      <c r="D311" s="17" t="s">
        <v>1777</v>
      </c>
      <c r="E311" s="17" t="s">
        <v>1778</v>
      </c>
      <c r="F311" s="17"/>
      <c r="G311" s="17" t="s">
        <v>98</v>
      </c>
      <c r="H311" s="17" t="s">
        <v>99</v>
      </c>
      <c r="I311" s="17" t="s">
        <v>149</v>
      </c>
      <c r="J311" s="18" t="s">
        <v>100</v>
      </c>
      <c r="K311" s="18" t="s">
        <v>101</v>
      </c>
      <c r="L311" s="18" t="n">
        <v>3</v>
      </c>
      <c r="M311" s="18" t="n">
        <v>20</v>
      </c>
      <c r="N311" s="17" t="str">
        <f aca="false">IF(M311&lt;=4,"R1 Foundation",IF(M311&lt;=8,"R2 Core Clinic",IF(M311&lt;=13,"R3 Revenue &amp; Messaging",IF(M311&lt;=18,"R4 Patient &amp; Platform",IF(M311&lt;=20,"R5 Harden","R6 Launch")))))</f>
        <v>R5 Harden</v>
      </c>
      <c r="O311" s="19" t="n">
        <f aca="false">L311*README!$B$32</f>
        <v>1.8</v>
      </c>
      <c r="P311" s="17" t="s">
        <v>1739</v>
      </c>
      <c r="Q311" s="17" t="s">
        <v>1779</v>
      </c>
      <c r="R311" s="17" t="s">
        <v>103</v>
      </c>
      <c r="S311" s="17"/>
    </row>
    <row r="312" customFormat="false" ht="23.85" hidden="false" customHeight="false" outlineLevel="0" collapsed="false">
      <c r="A312" s="11" t="s">
        <v>1780</v>
      </c>
      <c r="B312" s="11" t="s">
        <v>1721</v>
      </c>
      <c r="C312" s="11" t="s">
        <v>149</v>
      </c>
      <c r="D312" s="11" t="s">
        <v>1781</v>
      </c>
      <c r="E312" s="11" t="s">
        <v>1782</v>
      </c>
      <c r="F312" s="11" t="s">
        <v>1520</v>
      </c>
      <c r="G312" s="11" t="s">
        <v>107</v>
      </c>
      <c r="H312" s="11" t="s">
        <v>107</v>
      </c>
      <c r="I312" s="11" t="s">
        <v>149</v>
      </c>
      <c r="J312" s="15" t="s">
        <v>100</v>
      </c>
      <c r="K312" s="15" t="s">
        <v>101</v>
      </c>
      <c r="L312" s="15" t="n">
        <v>8</v>
      </c>
      <c r="M312" s="15" t="n">
        <v>10</v>
      </c>
      <c r="N312" s="11" t="str">
        <f aca="false">IF(M312&lt;=4,"R1 Foundation",IF(M312&lt;=8,"R2 Core Clinic",IF(M312&lt;=13,"R3 Revenue &amp; Messaging",IF(M312&lt;=18,"R4 Patient &amp; Platform",IF(M312&lt;=20,"R5 Harden","R6 Launch")))))</f>
        <v>R3 Revenue &amp; Messaging</v>
      </c>
      <c r="O312" s="16" t="n">
        <f aca="false">L312*README!$B$32</f>
        <v>4.8</v>
      </c>
      <c r="P312" s="11" t="s">
        <v>1783</v>
      </c>
      <c r="Q312" s="11" t="s">
        <v>1784</v>
      </c>
      <c r="R312" s="11" t="s">
        <v>103</v>
      </c>
      <c r="S312" s="11"/>
    </row>
    <row r="313" customFormat="false" ht="23.85" hidden="false" customHeight="false" outlineLevel="0" collapsed="false">
      <c r="A313" s="17" t="s">
        <v>1785</v>
      </c>
      <c r="B313" s="17" t="s">
        <v>1786</v>
      </c>
      <c r="C313" s="17" t="s">
        <v>303</v>
      </c>
      <c r="D313" s="17" t="s">
        <v>1787</v>
      </c>
      <c r="E313" s="17" t="s">
        <v>1788</v>
      </c>
      <c r="F313" s="17"/>
      <c r="G313" s="17" t="s">
        <v>98</v>
      </c>
      <c r="H313" s="17" t="s">
        <v>99</v>
      </c>
      <c r="I313" s="17" t="s">
        <v>303</v>
      </c>
      <c r="J313" s="18" t="s">
        <v>100</v>
      </c>
      <c r="K313" s="18" t="s">
        <v>101</v>
      </c>
      <c r="L313" s="18" t="n">
        <v>5</v>
      </c>
      <c r="M313" s="18" t="n">
        <v>2</v>
      </c>
      <c r="N313" s="17" t="str">
        <f aca="false">IF(M313&lt;=4,"R1 Foundation",IF(M313&lt;=8,"R2 Core Clinic",IF(M313&lt;=13,"R3 Revenue &amp; Messaging",IF(M313&lt;=18,"R4 Patient &amp; Platform",IF(M313&lt;=20,"R5 Harden","R6 Launch")))))</f>
        <v>R1 Foundation</v>
      </c>
      <c r="O313" s="19" t="n">
        <f aca="false">L313*README!$B$32</f>
        <v>3</v>
      </c>
      <c r="P313" s="17" t="s">
        <v>92</v>
      </c>
      <c r="Q313" s="17" t="s">
        <v>1789</v>
      </c>
      <c r="R313" s="17" t="s">
        <v>103</v>
      </c>
      <c r="S313" s="17"/>
    </row>
    <row r="314" customFormat="false" ht="23.85" hidden="false" customHeight="false" outlineLevel="0" collapsed="false">
      <c r="A314" s="11" t="s">
        <v>1790</v>
      </c>
      <c r="B314" s="11" t="s">
        <v>1786</v>
      </c>
      <c r="C314" s="11" t="s">
        <v>303</v>
      </c>
      <c r="D314" s="11" t="s">
        <v>1791</v>
      </c>
      <c r="E314" s="11" t="s">
        <v>1792</v>
      </c>
      <c r="F314" s="11"/>
      <c r="G314" s="11" t="s">
        <v>98</v>
      </c>
      <c r="H314" s="11" t="s">
        <v>99</v>
      </c>
      <c r="I314" s="11" t="s">
        <v>303</v>
      </c>
      <c r="J314" s="15" t="s">
        <v>100</v>
      </c>
      <c r="K314" s="15" t="s">
        <v>101</v>
      </c>
      <c r="L314" s="15" t="n">
        <v>5</v>
      </c>
      <c r="M314" s="15" t="n">
        <v>4</v>
      </c>
      <c r="N314" s="11" t="str">
        <f aca="false">IF(M314&lt;=4,"R1 Foundation",IF(M314&lt;=8,"R2 Core Clinic",IF(M314&lt;=13,"R3 Revenue &amp; Messaging",IF(M314&lt;=18,"R4 Patient &amp; Platform",IF(M314&lt;=20,"R5 Harden","R6 Launch")))))</f>
        <v>R1 Foundation</v>
      </c>
      <c r="O314" s="16" t="n">
        <f aca="false">L314*README!$B$32</f>
        <v>3</v>
      </c>
      <c r="P314" s="11" t="s">
        <v>1793</v>
      </c>
      <c r="Q314" s="11" t="s">
        <v>1794</v>
      </c>
      <c r="R314" s="11" t="s">
        <v>103</v>
      </c>
      <c r="S314" s="11"/>
    </row>
    <row r="315" customFormat="false" ht="15" hidden="false" customHeight="false" outlineLevel="0" collapsed="false">
      <c r="A315" s="17" t="s">
        <v>1795</v>
      </c>
      <c r="B315" s="17" t="s">
        <v>1786</v>
      </c>
      <c r="C315" s="17" t="s">
        <v>303</v>
      </c>
      <c r="D315" s="17" t="s">
        <v>1796</v>
      </c>
      <c r="E315" s="17" t="s">
        <v>1797</v>
      </c>
      <c r="F315" s="17"/>
      <c r="G315" s="17" t="s">
        <v>98</v>
      </c>
      <c r="H315" s="17" t="s">
        <v>99</v>
      </c>
      <c r="I315" s="17" t="s">
        <v>303</v>
      </c>
      <c r="J315" s="18" t="s">
        <v>100</v>
      </c>
      <c r="K315" s="18" t="s">
        <v>101</v>
      </c>
      <c r="L315" s="18" t="n">
        <v>5</v>
      </c>
      <c r="M315" s="18" t="n">
        <v>7</v>
      </c>
      <c r="N315" s="17" t="str">
        <f aca="false">IF(M315&lt;=4,"R1 Foundation",IF(M315&lt;=8,"R2 Core Clinic",IF(M315&lt;=13,"R3 Revenue &amp; Messaging",IF(M315&lt;=18,"R4 Patient &amp; Platform",IF(M315&lt;=20,"R5 Harden","R6 Launch")))))</f>
        <v>R2 Core Clinic</v>
      </c>
      <c r="O315" s="19" t="n">
        <f aca="false">L315*README!$B$32</f>
        <v>3</v>
      </c>
      <c r="P315" s="17" t="s">
        <v>1798</v>
      </c>
      <c r="Q315" s="17" t="s">
        <v>1799</v>
      </c>
      <c r="R315" s="17" t="s">
        <v>103</v>
      </c>
      <c r="S315" s="17"/>
    </row>
    <row r="316" customFormat="false" ht="23.85" hidden="false" customHeight="false" outlineLevel="0" collapsed="false">
      <c r="A316" s="11" t="s">
        <v>1800</v>
      </c>
      <c r="B316" s="11" t="s">
        <v>1786</v>
      </c>
      <c r="C316" s="11" t="s">
        <v>303</v>
      </c>
      <c r="D316" s="11" t="s">
        <v>1801</v>
      </c>
      <c r="E316" s="11" t="s">
        <v>1802</v>
      </c>
      <c r="F316" s="11"/>
      <c r="G316" s="11" t="s">
        <v>98</v>
      </c>
      <c r="H316" s="11" t="s">
        <v>99</v>
      </c>
      <c r="I316" s="11" t="s">
        <v>303</v>
      </c>
      <c r="J316" s="15" t="s">
        <v>100</v>
      </c>
      <c r="K316" s="15" t="s">
        <v>101</v>
      </c>
      <c r="L316" s="15" t="n">
        <v>8</v>
      </c>
      <c r="M316" s="15" t="n">
        <v>13</v>
      </c>
      <c r="N316" s="11" t="str">
        <f aca="false">IF(M316&lt;=4,"R1 Foundation",IF(M316&lt;=8,"R2 Core Clinic",IF(M316&lt;=13,"R3 Revenue &amp; Messaging",IF(M316&lt;=18,"R4 Patient &amp; Platform",IF(M316&lt;=20,"R5 Harden","R6 Launch")))))</f>
        <v>R3 Revenue &amp; Messaging</v>
      </c>
      <c r="O316" s="16" t="n">
        <f aca="false">L316*README!$B$32</f>
        <v>4.8</v>
      </c>
      <c r="P316" s="11" t="s">
        <v>1803</v>
      </c>
      <c r="Q316" s="11" t="s">
        <v>1804</v>
      </c>
      <c r="R316" s="11" t="s">
        <v>103</v>
      </c>
      <c r="S316" s="11"/>
    </row>
    <row r="317" customFormat="false" ht="23.85" hidden="false" customHeight="false" outlineLevel="0" collapsed="false">
      <c r="A317" s="17" t="s">
        <v>1805</v>
      </c>
      <c r="B317" s="17" t="s">
        <v>1786</v>
      </c>
      <c r="C317" s="17" t="s">
        <v>303</v>
      </c>
      <c r="D317" s="17" t="s">
        <v>1806</v>
      </c>
      <c r="E317" s="17" t="s">
        <v>1807</v>
      </c>
      <c r="F317" s="17" t="s">
        <v>1808</v>
      </c>
      <c r="G317" s="17" t="s">
        <v>310</v>
      </c>
      <c r="H317" s="17" t="s">
        <v>310</v>
      </c>
      <c r="I317" s="17" t="s">
        <v>303</v>
      </c>
      <c r="J317" s="18" t="s">
        <v>100</v>
      </c>
      <c r="K317" s="18" t="s">
        <v>101</v>
      </c>
      <c r="L317" s="18" t="n">
        <v>8</v>
      </c>
      <c r="M317" s="18" t="n">
        <v>17</v>
      </c>
      <c r="N317" s="17" t="str">
        <f aca="false">IF(M317&lt;=4,"R1 Foundation",IF(M317&lt;=8,"R2 Core Clinic",IF(M317&lt;=13,"R3 Revenue &amp; Messaging",IF(M317&lt;=18,"R4 Patient &amp; Platform",IF(M317&lt;=20,"R5 Harden","R6 Launch")))))</f>
        <v>R4 Patient &amp; Platform</v>
      </c>
      <c r="O317" s="19" t="n">
        <f aca="false">L317*README!$B$32</f>
        <v>4.8</v>
      </c>
      <c r="P317" s="17" t="s">
        <v>1809</v>
      </c>
      <c r="Q317" s="17" t="s">
        <v>1810</v>
      </c>
      <c r="R317" s="17" t="s">
        <v>103</v>
      </c>
      <c r="S317" s="17"/>
    </row>
    <row r="318" customFormat="false" ht="23.85" hidden="false" customHeight="false" outlineLevel="0" collapsed="false">
      <c r="A318" s="11" t="s">
        <v>1811</v>
      </c>
      <c r="B318" s="11" t="s">
        <v>1786</v>
      </c>
      <c r="C318" s="11" t="s">
        <v>303</v>
      </c>
      <c r="D318" s="11" t="s">
        <v>1812</v>
      </c>
      <c r="E318" s="11" t="s">
        <v>1813</v>
      </c>
      <c r="F318" s="11" t="s">
        <v>189</v>
      </c>
      <c r="G318" s="11" t="s">
        <v>98</v>
      </c>
      <c r="H318" s="11" t="s">
        <v>99</v>
      </c>
      <c r="I318" s="11" t="s">
        <v>303</v>
      </c>
      <c r="J318" s="15" t="s">
        <v>100</v>
      </c>
      <c r="K318" s="15" t="s">
        <v>101</v>
      </c>
      <c r="L318" s="15" t="n">
        <v>8</v>
      </c>
      <c r="M318" s="15" t="n">
        <v>12</v>
      </c>
      <c r="N318" s="11" t="str">
        <f aca="false">IF(M318&lt;=4,"R1 Foundation",IF(M318&lt;=8,"R2 Core Clinic",IF(M318&lt;=13,"R3 Revenue &amp; Messaging",IF(M318&lt;=18,"R4 Patient &amp; Platform",IF(M318&lt;=20,"R5 Harden","R6 Launch")))))</f>
        <v>R3 Revenue &amp; Messaging</v>
      </c>
      <c r="O318" s="16" t="n">
        <f aca="false">L318*README!$B$32</f>
        <v>4.8</v>
      </c>
      <c r="P318" s="11" t="s">
        <v>1814</v>
      </c>
      <c r="Q318" s="11" t="s">
        <v>1815</v>
      </c>
      <c r="R318" s="11" t="s">
        <v>103</v>
      </c>
      <c r="S318" s="11"/>
    </row>
    <row r="319" customFormat="false" ht="23.85" hidden="false" customHeight="false" outlineLevel="0" collapsed="false">
      <c r="A319" s="17" t="s">
        <v>1816</v>
      </c>
      <c r="B319" s="17" t="s">
        <v>1786</v>
      </c>
      <c r="C319" s="17" t="s">
        <v>303</v>
      </c>
      <c r="D319" s="17" t="s">
        <v>1817</v>
      </c>
      <c r="E319" s="17" t="s">
        <v>1818</v>
      </c>
      <c r="F319" s="17"/>
      <c r="G319" s="17" t="s">
        <v>98</v>
      </c>
      <c r="H319" s="17" t="s">
        <v>99</v>
      </c>
      <c r="I319" s="17" t="s">
        <v>303</v>
      </c>
      <c r="J319" s="18" t="s">
        <v>100</v>
      </c>
      <c r="K319" s="18" t="s">
        <v>101</v>
      </c>
      <c r="L319" s="18" t="n">
        <v>5</v>
      </c>
      <c r="M319" s="18" t="n">
        <v>18</v>
      </c>
      <c r="N319" s="17" t="str">
        <f aca="false">IF(M319&lt;=4,"R1 Foundation",IF(M319&lt;=8,"R2 Core Clinic",IF(M319&lt;=13,"R3 Revenue &amp; Messaging",IF(M319&lt;=18,"R4 Patient &amp; Platform",IF(M319&lt;=20,"R5 Harden","R6 Launch")))))</f>
        <v>R4 Patient &amp; Platform</v>
      </c>
      <c r="O319" s="19" t="n">
        <f aca="false">L319*README!$B$32</f>
        <v>3</v>
      </c>
      <c r="P319" s="17" t="s">
        <v>1800</v>
      </c>
      <c r="Q319" s="17" t="s">
        <v>1819</v>
      </c>
      <c r="R319" s="17" t="s">
        <v>103</v>
      </c>
      <c r="S319" s="17"/>
    </row>
    <row r="320" customFormat="false" ht="23.85" hidden="false" customHeight="false" outlineLevel="0" collapsed="false">
      <c r="A320" s="11" t="s">
        <v>1820</v>
      </c>
      <c r="B320" s="11" t="s">
        <v>1786</v>
      </c>
      <c r="C320" s="11" t="s">
        <v>303</v>
      </c>
      <c r="D320" s="11" t="s">
        <v>1821</v>
      </c>
      <c r="E320" s="11" t="s">
        <v>1822</v>
      </c>
      <c r="F320" s="11" t="s">
        <v>270</v>
      </c>
      <c r="G320" s="11" t="s">
        <v>98</v>
      </c>
      <c r="H320" s="11" t="s">
        <v>99</v>
      </c>
      <c r="I320" s="11" t="s">
        <v>303</v>
      </c>
      <c r="J320" s="15" t="s">
        <v>100</v>
      </c>
      <c r="K320" s="15" t="s">
        <v>101</v>
      </c>
      <c r="L320" s="15" t="n">
        <v>8</v>
      </c>
      <c r="M320" s="15" t="n">
        <v>16</v>
      </c>
      <c r="N320" s="11" t="str">
        <f aca="false">IF(M320&lt;=4,"R1 Foundation",IF(M320&lt;=8,"R2 Core Clinic",IF(M320&lt;=13,"R3 Revenue &amp; Messaging",IF(M320&lt;=18,"R4 Patient &amp; Platform",IF(M320&lt;=20,"R5 Harden","R6 Launch")))))</f>
        <v>R4 Patient &amp; Platform</v>
      </c>
      <c r="O320" s="16" t="n">
        <f aca="false">L320*README!$B$32</f>
        <v>4.8</v>
      </c>
      <c r="P320" s="11" t="s">
        <v>1823</v>
      </c>
      <c r="Q320" s="11" t="s">
        <v>1824</v>
      </c>
      <c r="R320" s="11" t="s">
        <v>103</v>
      </c>
      <c r="S320" s="11"/>
    </row>
    <row r="321" customFormat="false" ht="23.85" hidden="false" customHeight="false" outlineLevel="0" collapsed="false">
      <c r="A321" s="17" t="s">
        <v>1825</v>
      </c>
      <c r="B321" s="17" t="s">
        <v>1786</v>
      </c>
      <c r="C321" s="17" t="s">
        <v>303</v>
      </c>
      <c r="D321" s="17" t="s">
        <v>1826</v>
      </c>
      <c r="E321" s="17" t="s">
        <v>1827</v>
      </c>
      <c r="F321" s="17"/>
      <c r="G321" s="17" t="s">
        <v>98</v>
      </c>
      <c r="H321" s="17" t="s">
        <v>99</v>
      </c>
      <c r="I321" s="17" t="s">
        <v>303</v>
      </c>
      <c r="J321" s="18" t="s">
        <v>100</v>
      </c>
      <c r="K321" s="18" t="s">
        <v>101</v>
      </c>
      <c r="L321" s="18" t="n">
        <v>8</v>
      </c>
      <c r="M321" s="18" t="n">
        <v>18</v>
      </c>
      <c r="N321" s="17" t="str">
        <f aca="false">IF(M321&lt;=4,"R1 Foundation",IF(M321&lt;=8,"R2 Core Clinic",IF(M321&lt;=13,"R3 Revenue &amp; Messaging",IF(M321&lt;=18,"R4 Patient &amp; Platform",IF(M321&lt;=20,"R5 Harden","R6 Launch")))))</f>
        <v>R4 Patient &amp; Platform</v>
      </c>
      <c r="O321" s="19" t="n">
        <f aca="false">L321*README!$B$32</f>
        <v>4.8</v>
      </c>
      <c r="P321" s="17" t="s">
        <v>1828</v>
      </c>
      <c r="Q321" s="17" t="s">
        <v>1829</v>
      </c>
      <c r="R321" s="17" t="s">
        <v>103</v>
      </c>
      <c r="S321" s="17"/>
    </row>
    <row r="322" customFormat="false" ht="23.85" hidden="false" customHeight="false" outlineLevel="0" collapsed="false">
      <c r="A322" s="11" t="s">
        <v>1830</v>
      </c>
      <c r="B322" s="11" t="s">
        <v>1786</v>
      </c>
      <c r="C322" s="11" t="s">
        <v>303</v>
      </c>
      <c r="D322" s="11" t="s">
        <v>1831</v>
      </c>
      <c r="E322" s="11" t="s">
        <v>1832</v>
      </c>
      <c r="F322" s="11" t="s">
        <v>1833</v>
      </c>
      <c r="G322" s="11" t="s">
        <v>302</v>
      </c>
      <c r="H322" s="11" t="s">
        <v>99</v>
      </c>
      <c r="I322" s="11" t="s">
        <v>303</v>
      </c>
      <c r="J322" s="15" t="s">
        <v>100</v>
      </c>
      <c r="K322" s="15" t="s">
        <v>101</v>
      </c>
      <c r="L322" s="15" t="n">
        <v>8</v>
      </c>
      <c r="M322" s="15" t="n">
        <v>19</v>
      </c>
      <c r="N322" s="11" t="str">
        <f aca="false">IF(M322&lt;=4,"R1 Foundation",IF(M322&lt;=8,"R2 Core Clinic",IF(M322&lt;=13,"R3 Revenue &amp; Messaging",IF(M322&lt;=18,"R4 Patient &amp; Platform",IF(M322&lt;=20,"R5 Harden","R6 Launch")))))</f>
        <v>R5 Harden</v>
      </c>
      <c r="O322" s="16" t="n">
        <f aca="false">L322*README!$B$32</f>
        <v>4.8</v>
      </c>
      <c r="P322" s="11" t="s">
        <v>1834</v>
      </c>
      <c r="Q322" s="11" t="s">
        <v>1835</v>
      </c>
      <c r="R322" s="11" t="s">
        <v>103</v>
      </c>
      <c r="S322" s="11"/>
    </row>
    <row r="323" customFormat="false" ht="23.85" hidden="false" customHeight="false" outlineLevel="0" collapsed="false">
      <c r="A323" s="17" t="s">
        <v>1836</v>
      </c>
      <c r="B323" s="17" t="s">
        <v>1786</v>
      </c>
      <c r="C323" s="17" t="s">
        <v>303</v>
      </c>
      <c r="D323" s="17" t="s">
        <v>1837</v>
      </c>
      <c r="E323" s="17" t="s">
        <v>1838</v>
      </c>
      <c r="F323" s="17" t="s">
        <v>989</v>
      </c>
      <c r="G323" s="17" t="s">
        <v>233</v>
      </c>
      <c r="H323" s="17" t="s">
        <v>291</v>
      </c>
      <c r="I323" s="17" t="s">
        <v>303</v>
      </c>
      <c r="J323" s="18" t="s">
        <v>100</v>
      </c>
      <c r="K323" s="18" t="s">
        <v>101</v>
      </c>
      <c r="L323" s="18" t="n">
        <v>8</v>
      </c>
      <c r="M323" s="18" t="n">
        <v>17</v>
      </c>
      <c r="N323" s="17" t="str">
        <f aca="false">IF(M323&lt;=4,"R1 Foundation",IF(M323&lt;=8,"R2 Core Clinic",IF(M323&lt;=13,"R3 Revenue &amp; Messaging",IF(M323&lt;=18,"R4 Patient &amp; Platform",IF(M323&lt;=20,"R5 Harden","R6 Launch")))))</f>
        <v>R4 Patient &amp; Platform</v>
      </c>
      <c r="O323" s="19" t="n">
        <f aca="false">L323*README!$B$32</f>
        <v>4.8</v>
      </c>
      <c r="P323" s="17" t="s">
        <v>1839</v>
      </c>
      <c r="Q323" s="17" t="s">
        <v>1840</v>
      </c>
      <c r="R323" s="17" t="s">
        <v>103</v>
      </c>
      <c r="S323" s="17"/>
    </row>
    <row r="324" customFormat="false" ht="15" hidden="false" customHeight="false" outlineLevel="0" collapsed="false">
      <c r="A324" s="11" t="s">
        <v>1841</v>
      </c>
      <c r="B324" s="11" t="s">
        <v>1786</v>
      </c>
      <c r="C324" s="11" t="s">
        <v>303</v>
      </c>
      <c r="D324" s="11" t="s">
        <v>1842</v>
      </c>
      <c r="E324" s="11" t="s">
        <v>1843</v>
      </c>
      <c r="F324" s="11"/>
      <c r="G324" s="11" t="s">
        <v>98</v>
      </c>
      <c r="H324" s="11" t="s">
        <v>99</v>
      </c>
      <c r="I324" s="11" t="s">
        <v>303</v>
      </c>
      <c r="J324" s="15" t="s">
        <v>100</v>
      </c>
      <c r="K324" s="15" t="s">
        <v>101</v>
      </c>
      <c r="L324" s="15" t="n">
        <v>8</v>
      </c>
      <c r="M324" s="15" t="n">
        <v>22</v>
      </c>
      <c r="N324" s="11" t="str">
        <f aca="false">IF(M324&lt;=4,"R1 Foundation",IF(M324&lt;=8,"R2 Core Clinic",IF(M324&lt;=13,"R3 Revenue &amp; Messaging",IF(M324&lt;=18,"R4 Patient &amp; Platform",IF(M324&lt;=20,"R5 Harden","R6 Launch")))))</f>
        <v>R6 Launch</v>
      </c>
      <c r="O324" s="16" t="n">
        <f aca="false">L324*README!$B$32</f>
        <v>4.8</v>
      </c>
      <c r="P324" s="11" t="s">
        <v>1844</v>
      </c>
      <c r="Q324" s="11" t="s">
        <v>1845</v>
      </c>
      <c r="R324" s="11" t="s">
        <v>103</v>
      </c>
      <c r="S324" s="11"/>
    </row>
    <row r="325" customFormat="false" ht="35.05" hidden="false" customHeight="false" outlineLevel="0" collapsed="false">
      <c r="A325" s="17" t="s">
        <v>1846</v>
      </c>
      <c r="B325" s="17" t="s">
        <v>1847</v>
      </c>
      <c r="C325" s="17" t="s">
        <v>1848</v>
      </c>
      <c r="D325" s="17" t="s">
        <v>1849</v>
      </c>
      <c r="E325" s="17" t="s">
        <v>1850</v>
      </c>
      <c r="F325" s="17" t="s">
        <v>1851</v>
      </c>
      <c r="G325" s="17" t="s">
        <v>98</v>
      </c>
      <c r="H325" s="17" t="s">
        <v>99</v>
      </c>
      <c r="I325" s="17" t="s">
        <v>168</v>
      </c>
      <c r="J325" s="18" t="s">
        <v>100</v>
      </c>
      <c r="K325" s="18" t="s">
        <v>101</v>
      </c>
      <c r="L325" s="18" t="n">
        <v>8</v>
      </c>
      <c r="M325" s="18" t="n">
        <v>17</v>
      </c>
      <c r="N325" s="17" t="str">
        <f aca="false">IF(M325&lt;=4,"R1 Foundation",IF(M325&lt;=8,"R2 Core Clinic",IF(M325&lt;=13,"R3 Revenue &amp; Messaging",IF(M325&lt;=18,"R4 Patient &amp; Platform",IF(M325&lt;=20,"R5 Harden","R6 Launch")))))</f>
        <v>R4 Patient &amp; Platform</v>
      </c>
      <c r="O325" s="19" t="n">
        <f aca="false">L325*README!$B$32</f>
        <v>4.8</v>
      </c>
      <c r="P325" s="17" t="s">
        <v>1852</v>
      </c>
      <c r="Q325" s="17" t="s">
        <v>1853</v>
      </c>
      <c r="R325" s="17" t="s">
        <v>103</v>
      </c>
      <c r="S325" s="17"/>
    </row>
    <row r="326" customFormat="false" ht="15" hidden="false" customHeight="false" outlineLevel="0" collapsed="false">
      <c r="A326" s="11" t="s">
        <v>1854</v>
      </c>
      <c r="B326" s="11" t="s">
        <v>1847</v>
      </c>
      <c r="C326" s="11" t="s">
        <v>1848</v>
      </c>
      <c r="D326" s="11" t="s">
        <v>1855</v>
      </c>
      <c r="E326" s="11" t="s">
        <v>1856</v>
      </c>
      <c r="F326" s="11"/>
      <c r="G326" s="11" t="s">
        <v>98</v>
      </c>
      <c r="H326" s="11" t="s">
        <v>99</v>
      </c>
      <c r="I326" s="11" t="s">
        <v>114</v>
      </c>
      <c r="J326" s="15" t="s">
        <v>100</v>
      </c>
      <c r="K326" s="15" t="s">
        <v>101</v>
      </c>
      <c r="L326" s="15" t="n">
        <v>5</v>
      </c>
      <c r="M326" s="15" t="n">
        <v>17</v>
      </c>
      <c r="N326" s="11" t="str">
        <f aca="false">IF(M326&lt;=4,"R1 Foundation",IF(M326&lt;=8,"R2 Core Clinic",IF(M326&lt;=13,"R3 Revenue &amp; Messaging",IF(M326&lt;=18,"R4 Patient &amp; Platform",IF(M326&lt;=20,"R5 Harden","R6 Launch")))))</f>
        <v>R4 Patient &amp; Platform</v>
      </c>
      <c r="O326" s="16" t="n">
        <f aca="false">L326*README!$B$32</f>
        <v>3</v>
      </c>
      <c r="P326" s="11" t="s">
        <v>1857</v>
      </c>
      <c r="Q326" s="11" t="s">
        <v>1858</v>
      </c>
      <c r="R326" s="11" t="s">
        <v>103</v>
      </c>
      <c r="S326" s="11"/>
    </row>
    <row r="327" customFormat="false" ht="23.85" hidden="false" customHeight="false" outlineLevel="0" collapsed="false">
      <c r="A327" s="17" t="s">
        <v>1859</v>
      </c>
      <c r="B327" s="17" t="s">
        <v>1847</v>
      </c>
      <c r="C327" s="17" t="s">
        <v>1848</v>
      </c>
      <c r="D327" s="17" t="s">
        <v>1860</v>
      </c>
      <c r="E327" s="17" t="s">
        <v>1861</v>
      </c>
      <c r="F327" s="17" t="s">
        <v>1862</v>
      </c>
      <c r="G327" s="17" t="s">
        <v>98</v>
      </c>
      <c r="H327" s="17" t="s">
        <v>99</v>
      </c>
      <c r="I327" s="17" t="s">
        <v>114</v>
      </c>
      <c r="J327" s="18" t="s">
        <v>130</v>
      </c>
      <c r="K327" s="18" t="s">
        <v>101</v>
      </c>
      <c r="L327" s="18" t="n">
        <v>5</v>
      </c>
      <c r="M327" s="18" t="n">
        <v>18</v>
      </c>
      <c r="N327" s="17" t="str">
        <f aca="false">IF(M327&lt;=4,"R1 Foundation",IF(M327&lt;=8,"R2 Core Clinic",IF(M327&lt;=13,"R3 Revenue &amp; Messaging",IF(M327&lt;=18,"R4 Patient &amp; Platform",IF(M327&lt;=20,"R5 Harden","R6 Launch")))))</f>
        <v>R4 Patient &amp; Platform</v>
      </c>
      <c r="O327" s="19" t="n">
        <f aca="false">L327*README!$B$32</f>
        <v>3</v>
      </c>
      <c r="P327" s="17" t="s">
        <v>1863</v>
      </c>
      <c r="Q327" s="17" t="s">
        <v>1864</v>
      </c>
      <c r="R327" s="17" t="s">
        <v>103</v>
      </c>
      <c r="S327" s="17"/>
    </row>
    <row r="328" customFormat="false" ht="23.85" hidden="false" customHeight="false" outlineLevel="0" collapsed="false">
      <c r="A328" s="11" t="s">
        <v>1865</v>
      </c>
      <c r="B328" s="11" t="s">
        <v>1847</v>
      </c>
      <c r="C328" s="11" t="s">
        <v>1848</v>
      </c>
      <c r="D328" s="11" t="s">
        <v>1866</v>
      </c>
      <c r="E328" s="11" t="s">
        <v>1867</v>
      </c>
      <c r="F328" s="11" t="s">
        <v>1868</v>
      </c>
      <c r="G328" s="11" t="s">
        <v>98</v>
      </c>
      <c r="H328" s="11" t="s">
        <v>99</v>
      </c>
      <c r="I328" s="11" t="s">
        <v>303</v>
      </c>
      <c r="J328" s="15" t="s">
        <v>100</v>
      </c>
      <c r="K328" s="15" t="s">
        <v>101</v>
      </c>
      <c r="L328" s="15" t="n">
        <v>8</v>
      </c>
      <c r="M328" s="15" t="n">
        <v>19</v>
      </c>
      <c r="N328" s="11" t="str">
        <f aca="false">IF(M328&lt;=4,"R1 Foundation",IF(M328&lt;=8,"R2 Core Clinic",IF(M328&lt;=13,"R3 Revenue &amp; Messaging",IF(M328&lt;=18,"R4 Patient &amp; Platform",IF(M328&lt;=20,"R5 Harden","R6 Launch")))))</f>
        <v>R5 Harden</v>
      </c>
      <c r="O328" s="16" t="n">
        <f aca="false">L328*README!$B$32</f>
        <v>4.8</v>
      </c>
      <c r="P328" s="11" t="s">
        <v>1869</v>
      </c>
      <c r="Q328" s="11" t="s">
        <v>1870</v>
      </c>
      <c r="R328" s="11" t="s">
        <v>103</v>
      </c>
      <c r="S328" s="11"/>
    </row>
    <row r="329" customFormat="false" ht="35.05" hidden="false" customHeight="false" outlineLevel="0" collapsed="false">
      <c r="A329" s="17" t="s">
        <v>1871</v>
      </c>
      <c r="B329" s="17" t="s">
        <v>1847</v>
      </c>
      <c r="C329" s="17" t="s">
        <v>1848</v>
      </c>
      <c r="D329" s="17" t="s">
        <v>1872</v>
      </c>
      <c r="E329" s="17" t="s">
        <v>1873</v>
      </c>
      <c r="F329" s="17" t="s">
        <v>1874</v>
      </c>
      <c r="G329" s="17" t="s">
        <v>379</v>
      </c>
      <c r="H329" s="17" t="s">
        <v>291</v>
      </c>
      <c r="I329" s="17" t="s">
        <v>168</v>
      </c>
      <c r="J329" s="18" t="s">
        <v>100</v>
      </c>
      <c r="K329" s="18" t="s">
        <v>101</v>
      </c>
      <c r="L329" s="18" t="n">
        <v>8</v>
      </c>
      <c r="M329" s="18" t="n">
        <v>18</v>
      </c>
      <c r="N329" s="17" t="str">
        <f aca="false">IF(M329&lt;=4,"R1 Foundation",IF(M329&lt;=8,"R2 Core Clinic",IF(M329&lt;=13,"R3 Revenue &amp; Messaging",IF(M329&lt;=18,"R4 Patient &amp; Platform",IF(M329&lt;=20,"R5 Harden","R6 Launch")))))</f>
        <v>R4 Patient &amp; Platform</v>
      </c>
      <c r="O329" s="19" t="n">
        <f aca="false">L329*README!$B$32</f>
        <v>4.8</v>
      </c>
      <c r="P329" s="17" t="s">
        <v>1875</v>
      </c>
      <c r="Q329" s="17" t="s">
        <v>1876</v>
      </c>
      <c r="R329" s="17" t="s">
        <v>103</v>
      </c>
      <c r="S329" s="17"/>
    </row>
    <row r="330" customFormat="false" ht="15" hidden="false" customHeight="false" outlineLevel="0" collapsed="false">
      <c r="A330" s="11" t="s">
        <v>1877</v>
      </c>
      <c r="B330" s="11" t="s">
        <v>1847</v>
      </c>
      <c r="C330" s="11" t="s">
        <v>1848</v>
      </c>
      <c r="D330" s="11" t="s">
        <v>1878</v>
      </c>
      <c r="E330" s="11" t="s">
        <v>1879</v>
      </c>
      <c r="F330" s="11"/>
      <c r="G330" s="11" t="s">
        <v>98</v>
      </c>
      <c r="H330" s="11" t="s">
        <v>99</v>
      </c>
      <c r="I330" s="11" t="s">
        <v>149</v>
      </c>
      <c r="J330" s="15" t="s">
        <v>100</v>
      </c>
      <c r="K330" s="15" t="s">
        <v>101</v>
      </c>
      <c r="L330" s="15" t="n">
        <v>3</v>
      </c>
      <c r="M330" s="15" t="n">
        <v>18</v>
      </c>
      <c r="N330" s="11" t="str">
        <f aca="false">IF(M330&lt;=4,"R1 Foundation",IF(M330&lt;=8,"R2 Core Clinic",IF(M330&lt;=13,"R3 Revenue &amp; Messaging",IF(M330&lt;=18,"R4 Patient &amp; Platform",IF(M330&lt;=20,"R5 Harden","R6 Launch")))))</f>
        <v>R4 Patient &amp; Platform</v>
      </c>
      <c r="O330" s="16" t="n">
        <f aca="false">L330*README!$B$32</f>
        <v>1.8</v>
      </c>
      <c r="P330" s="11" t="s">
        <v>1749</v>
      </c>
      <c r="Q330" s="11" t="s">
        <v>1880</v>
      </c>
      <c r="R330" s="11" t="s">
        <v>103</v>
      </c>
      <c r="S330" s="11"/>
    </row>
    <row r="331" customFormat="false" ht="23.85" hidden="false" customHeight="false" outlineLevel="0" collapsed="false">
      <c r="A331" s="17" t="s">
        <v>1881</v>
      </c>
      <c r="B331" s="17" t="s">
        <v>1847</v>
      </c>
      <c r="C331" s="17" t="s">
        <v>1848</v>
      </c>
      <c r="D331" s="17" t="s">
        <v>1882</v>
      </c>
      <c r="E331" s="17" t="s">
        <v>1883</v>
      </c>
      <c r="F331" s="17" t="s">
        <v>135</v>
      </c>
      <c r="G331" s="17" t="s">
        <v>98</v>
      </c>
      <c r="H331" s="17" t="s">
        <v>99</v>
      </c>
      <c r="I331" s="17" t="s">
        <v>114</v>
      </c>
      <c r="J331" s="18" t="s">
        <v>100</v>
      </c>
      <c r="K331" s="18" t="s">
        <v>101</v>
      </c>
      <c r="L331" s="18" t="n">
        <v>8</v>
      </c>
      <c r="M331" s="18" t="n">
        <v>19</v>
      </c>
      <c r="N331" s="17" t="str">
        <f aca="false">IF(M331&lt;=4,"R1 Foundation",IF(M331&lt;=8,"R2 Core Clinic",IF(M331&lt;=13,"R3 Revenue &amp; Messaging",IF(M331&lt;=18,"R4 Patient &amp; Platform",IF(M331&lt;=20,"R5 Harden","R6 Launch")))))</f>
        <v>R5 Harden</v>
      </c>
      <c r="O331" s="19" t="n">
        <f aca="false">L331*README!$B$32</f>
        <v>4.8</v>
      </c>
      <c r="P331" s="17" t="s">
        <v>1884</v>
      </c>
      <c r="Q331" s="17" t="s">
        <v>1885</v>
      </c>
      <c r="R331" s="17" t="s">
        <v>103</v>
      </c>
      <c r="S331" s="17"/>
    </row>
    <row r="332" customFormat="false" ht="23.85" hidden="false" customHeight="false" outlineLevel="0" collapsed="false">
      <c r="A332" s="11" t="s">
        <v>1886</v>
      </c>
      <c r="B332" s="11" t="s">
        <v>1847</v>
      </c>
      <c r="C332" s="11" t="s">
        <v>1848</v>
      </c>
      <c r="D332" s="11" t="s">
        <v>1887</v>
      </c>
      <c r="E332" s="11" t="s">
        <v>1888</v>
      </c>
      <c r="F332" s="11" t="s">
        <v>129</v>
      </c>
      <c r="G332" s="11" t="s">
        <v>107</v>
      </c>
      <c r="H332" s="11" t="s">
        <v>310</v>
      </c>
      <c r="I332" s="11" t="s">
        <v>114</v>
      </c>
      <c r="J332" s="15" t="s">
        <v>100</v>
      </c>
      <c r="K332" s="15" t="s">
        <v>101</v>
      </c>
      <c r="L332" s="15" t="n">
        <v>5</v>
      </c>
      <c r="M332" s="15" t="n">
        <v>19</v>
      </c>
      <c r="N332" s="11" t="str">
        <f aca="false">IF(M332&lt;=4,"R1 Foundation",IF(M332&lt;=8,"R2 Core Clinic",IF(M332&lt;=13,"R3 Revenue &amp; Messaging",IF(M332&lt;=18,"R4 Patient &amp; Platform",IF(M332&lt;=20,"R5 Harden","R6 Launch")))))</f>
        <v>R5 Harden</v>
      </c>
      <c r="O332" s="16" t="n">
        <f aca="false">L332*README!$B$32</f>
        <v>3</v>
      </c>
      <c r="P332" s="11" t="s">
        <v>1188</v>
      </c>
      <c r="Q332" s="11" t="s">
        <v>1889</v>
      </c>
      <c r="R332" s="11" t="s">
        <v>103</v>
      </c>
      <c r="S332" s="11"/>
    </row>
    <row r="333" customFormat="false" ht="23.85" hidden="false" customHeight="false" outlineLevel="0" collapsed="false">
      <c r="A333" s="17" t="s">
        <v>1890</v>
      </c>
      <c r="B333" s="17" t="s">
        <v>1847</v>
      </c>
      <c r="C333" s="17" t="s">
        <v>1848</v>
      </c>
      <c r="D333" s="17" t="s">
        <v>1891</v>
      </c>
      <c r="E333" s="17" t="s">
        <v>1892</v>
      </c>
      <c r="F333" s="17" t="s">
        <v>232</v>
      </c>
      <c r="G333" s="17" t="s">
        <v>233</v>
      </c>
      <c r="H333" s="17" t="s">
        <v>291</v>
      </c>
      <c r="I333" s="17" t="s">
        <v>114</v>
      </c>
      <c r="J333" s="18" t="s">
        <v>130</v>
      </c>
      <c r="K333" s="18" t="s">
        <v>101</v>
      </c>
      <c r="L333" s="18" t="n">
        <v>3</v>
      </c>
      <c r="M333" s="18" t="n">
        <v>19</v>
      </c>
      <c r="N333" s="17" t="str">
        <f aca="false">IF(M333&lt;=4,"R1 Foundation",IF(M333&lt;=8,"R2 Core Clinic",IF(M333&lt;=13,"R3 Revenue &amp; Messaging",IF(M333&lt;=18,"R4 Patient &amp; Platform",IF(M333&lt;=20,"R5 Harden","R6 Launch")))))</f>
        <v>R5 Harden</v>
      </c>
      <c r="O333" s="19" t="n">
        <f aca="false">L333*README!$B$32</f>
        <v>1.8</v>
      </c>
      <c r="P333" s="17" t="s">
        <v>1893</v>
      </c>
      <c r="Q333" s="17" t="s">
        <v>1894</v>
      </c>
      <c r="R333" s="17" t="s">
        <v>103</v>
      </c>
      <c r="S333" s="17"/>
    </row>
    <row r="334" customFormat="false" ht="15" hidden="false" customHeight="false" outlineLevel="0" collapsed="false">
      <c r="A334" s="11" t="s">
        <v>1895</v>
      </c>
      <c r="B334" s="11" t="s">
        <v>1896</v>
      </c>
      <c r="C334" s="11" t="s">
        <v>1897</v>
      </c>
      <c r="D334" s="11" t="s">
        <v>1898</v>
      </c>
      <c r="E334" s="11" t="s">
        <v>1899</v>
      </c>
      <c r="F334" s="11"/>
      <c r="G334" s="11" t="s">
        <v>98</v>
      </c>
      <c r="H334" s="11" t="s">
        <v>99</v>
      </c>
      <c r="I334" s="11" t="s">
        <v>168</v>
      </c>
      <c r="J334" s="15" t="s">
        <v>100</v>
      </c>
      <c r="K334" s="15" t="s">
        <v>101</v>
      </c>
      <c r="L334" s="15" t="n">
        <v>5</v>
      </c>
      <c r="M334" s="15" t="n">
        <v>8</v>
      </c>
      <c r="N334" s="11" t="str">
        <f aca="false">IF(M334&lt;=4,"R1 Foundation",IF(M334&lt;=8,"R2 Core Clinic",IF(M334&lt;=13,"R3 Revenue &amp; Messaging",IF(M334&lt;=18,"R4 Patient &amp; Platform",IF(M334&lt;=20,"R5 Harden","R6 Launch")))))</f>
        <v>R2 Core Clinic</v>
      </c>
      <c r="O334" s="16" t="n">
        <f aca="false">L334*README!$B$32</f>
        <v>3</v>
      </c>
      <c r="P334" s="11" t="s">
        <v>186</v>
      </c>
      <c r="Q334" s="11" t="s">
        <v>1900</v>
      </c>
      <c r="R334" s="11" t="s">
        <v>103</v>
      </c>
      <c r="S334" s="11"/>
    </row>
    <row r="335" customFormat="false" ht="23.85" hidden="false" customHeight="false" outlineLevel="0" collapsed="false">
      <c r="A335" s="17" t="s">
        <v>1901</v>
      </c>
      <c r="B335" s="17" t="s">
        <v>1896</v>
      </c>
      <c r="C335" s="17" t="s">
        <v>1897</v>
      </c>
      <c r="D335" s="17" t="s">
        <v>1902</v>
      </c>
      <c r="E335" s="17" t="s">
        <v>1903</v>
      </c>
      <c r="F335" s="17"/>
      <c r="G335" s="17" t="s">
        <v>98</v>
      </c>
      <c r="H335" s="17" t="s">
        <v>99</v>
      </c>
      <c r="I335" s="17" t="s">
        <v>168</v>
      </c>
      <c r="J335" s="18" t="s">
        <v>100</v>
      </c>
      <c r="K335" s="18" t="s">
        <v>101</v>
      </c>
      <c r="L335" s="18" t="n">
        <v>5</v>
      </c>
      <c r="M335" s="18" t="n">
        <v>9</v>
      </c>
      <c r="N335" s="17" t="str">
        <f aca="false">IF(M335&lt;=4,"R1 Foundation",IF(M335&lt;=8,"R2 Core Clinic",IF(M335&lt;=13,"R3 Revenue &amp; Messaging",IF(M335&lt;=18,"R4 Patient &amp; Platform",IF(M335&lt;=20,"R5 Harden","R6 Launch")))))</f>
        <v>R3 Revenue &amp; Messaging</v>
      </c>
      <c r="O335" s="19" t="n">
        <f aca="false">L335*README!$B$32</f>
        <v>3</v>
      </c>
      <c r="P335" s="17" t="s">
        <v>186</v>
      </c>
      <c r="Q335" s="17" t="s">
        <v>1904</v>
      </c>
      <c r="R335" s="17" t="s">
        <v>103</v>
      </c>
      <c r="S335" s="17"/>
    </row>
    <row r="336" customFormat="false" ht="23.85" hidden="false" customHeight="false" outlineLevel="0" collapsed="false">
      <c r="A336" s="11" t="s">
        <v>1905</v>
      </c>
      <c r="B336" s="11" t="s">
        <v>1896</v>
      </c>
      <c r="C336" s="11" t="s">
        <v>1897</v>
      </c>
      <c r="D336" s="11" t="s">
        <v>1906</v>
      </c>
      <c r="E336" s="11" t="s">
        <v>1907</v>
      </c>
      <c r="F336" s="11"/>
      <c r="G336" s="11" t="s">
        <v>98</v>
      </c>
      <c r="H336" s="11" t="s">
        <v>99</v>
      </c>
      <c r="I336" s="11" t="s">
        <v>168</v>
      </c>
      <c r="J336" s="15" t="s">
        <v>100</v>
      </c>
      <c r="K336" s="15" t="s">
        <v>101</v>
      </c>
      <c r="L336" s="15" t="n">
        <v>5</v>
      </c>
      <c r="M336" s="15" t="n">
        <v>9</v>
      </c>
      <c r="N336" s="11" t="str">
        <f aca="false">IF(M336&lt;=4,"R1 Foundation",IF(M336&lt;=8,"R2 Core Clinic",IF(M336&lt;=13,"R3 Revenue &amp; Messaging",IF(M336&lt;=18,"R4 Patient &amp; Platform",IF(M336&lt;=20,"R5 Harden","R6 Launch")))))</f>
        <v>R3 Revenue &amp; Messaging</v>
      </c>
      <c r="O336" s="16" t="n">
        <f aca="false">L336*README!$B$32</f>
        <v>3</v>
      </c>
      <c r="P336" s="11" t="s">
        <v>174</v>
      </c>
      <c r="Q336" s="11" t="s">
        <v>1908</v>
      </c>
      <c r="R336" s="11" t="s">
        <v>103</v>
      </c>
      <c r="S336" s="11"/>
    </row>
    <row r="337" customFormat="false" ht="23.85" hidden="false" customHeight="false" outlineLevel="0" collapsed="false">
      <c r="A337" s="17" t="s">
        <v>1909</v>
      </c>
      <c r="B337" s="17" t="s">
        <v>1896</v>
      </c>
      <c r="C337" s="17" t="s">
        <v>1897</v>
      </c>
      <c r="D337" s="17" t="s">
        <v>1910</v>
      </c>
      <c r="E337" s="17" t="s">
        <v>1911</v>
      </c>
      <c r="F337" s="17"/>
      <c r="G337" s="17" t="s">
        <v>98</v>
      </c>
      <c r="H337" s="17" t="s">
        <v>99</v>
      </c>
      <c r="I337" s="17" t="s">
        <v>168</v>
      </c>
      <c r="J337" s="18" t="s">
        <v>100</v>
      </c>
      <c r="K337" s="18" t="s">
        <v>101</v>
      </c>
      <c r="L337" s="18" t="n">
        <v>3</v>
      </c>
      <c r="M337" s="18" t="n">
        <v>10</v>
      </c>
      <c r="N337" s="17" t="str">
        <f aca="false">IF(M337&lt;=4,"R1 Foundation",IF(M337&lt;=8,"R2 Core Clinic",IF(M337&lt;=13,"R3 Revenue &amp; Messaging",IF(M337&lt;=18,"R4 Patient &amp; Platform",IF(M337&lt;=20,"R5 Harden","R6 Launch")))))</f>
        <v>R3 Revenue &amp; Messaging</v>
      </c>
      <c r="O337" s="19" t="n">
        <f aca="false">L337*README!$B$32</f>
        <v>1.8</v>
      </c>
      <c r="P337" s="17" t="s">
        <v>174</v>
      </c>
      <c r="Q337" s="17" t="s">
        <v>1912</v>
      </c>
      <c r="R337" s="17" t="s">
        <v>103</v>
      </c>
      <c r="S337" s="17"/>
    </row>
    <row r="338" customFormat="false" ht="35.05" hidden="false" customHeight="false" outlineLevel="0" collapsed="false">
      <c r="A338" s="11" t="s">
        <v>1913</v>
      </c>
      <c r="B338" s="11" t="s">
        <v>1896</v>
      </c>
      <c r="C338" s="11" t="s">
        <v>1897</v>
      </c>
      <c r="D338" s="11" t="s">
        <v>1914</v>
      </c>
      <c r="E338" s="11" t="s">
        <v>1915</v>
      </c>
      <c r="F338" s="11" t="s">
        <v>1916</v>
      </c>
      <c r="G338" s="11" t="s">
        <v>485</v>
      </c>
      <c r="H338" s="11" t="s">
        <v>291</v>
      </c>
      <c r="I338" s="11" t="s">
        <v>168</v>
      </c>
      <c r="J338" s="15" t="s">
        <v>100</v>
      </c>
      <c r="K338" s="15" t="s">
        <v>101</v>
      </c>
      <c r="L338" s="15" t="n">
        <v>8</v>
      </c>
      <c r="M338" s="15" t="n">
        <v>12</v>
      </c>
      <c r="N338" s="11" t="str">
        <f aca="false">IF(M338&lt;=4,"R1 Foundation",IF(M338&lt;=8,"R2 Core Clinic",IF(M338&lt;=13,"R3 Revenue &amp; Messaging",IF(M338&lt;=18,"R4 Patient &amp; Platform",IF(M338&lt;=20,"R5 Harden","R6 Launch")))))</f>
        <v>R3 Revenue &amp; Messaging</v>
      </c>
      <c r="O338" s="16" t="n">
        <f aca="false">L338*README!$B$32</f>
        <v>4.8</v>
      </c>
      <c r="P338" s="11" t="s">
        <v>1917</v>
      </c>
      <c r="Q338" s="11" t="s">
        <v>1918</v>
      </c>
      <c r="R338" s="11" t="s">
        <v>103</v>
      </c>
      <c r="S338" s="11"/>
    </row>
    <row r="339" customFormat="false" ht="23.85" hidden="false" customHeight="false" outlineLevel="0" collapsed="false">
      <c r="A339" s="17" t="s">
        <v>1919</v>
      </c>
      <c r="B339" s="17" t="s">
        <v>1896</v>
      </c>
      <c r="C339" s="17" t="s">
        <v>1897</v>
      </c>
      <c r="D339" s="17" t="s">
        <v>1920</v>
      </c>
      <c r="E339" s="17" t="s">
        <v>1921</v>
      </c>
      <c r="F339" s="17" t="s">
        <v>1916</v>
      </c>
      <c r="G339" s="17" t="s">
        <v>485</v>
      </c>
      <c r="H339" s="17" t="s">
        <v>291</v>
      </c>
      <c r="I339" s="17" t="s">
        <v>168</v>
      </c>
      <c r="J339" s="18" t="s">
        <v>100</v>
      </c>
      <c r="K339" s="18" t="s">
        <v>101</v>
      </c>
      <c r="L339" s="18" t="n">
        <v>5</v>
      </c>
      <c r="M339" s="18" t="n">
        <v>13</v>
      </c>
      <c r="N339" s="17" t="str">
        <f aca="false">IF(M339&lt;=4,"R1 Foundation",IF(M339&lt;=8,"R2 Core Clinic",IF(M339&lt;=13,"R3 Revenue &amp; Messaging",IF(M339&lt;=18,"R4 Patient &amp; Platform",IF(M339&lt;=20,"R5 Harden","R6 Launch")))))</f>
        <v>R3 Revenue &amp; Messaging</v>
      </c>
      <c r="O339" s="19" t="n">
        <f aca="false">L339*README!$B$32</f>
        <v>3</v>
      </c>
      <c r="P339" s="17" t="s">
        <v>1913</v>
      </c>
      <c r="Q339" s="17" t="s">
        <v>1922</v>
      </c>
      <c r="R339" s="17" t="s">
        <v>103</v>
      </c>
      <c r="S339" s="17"/>
    </row>
    <row r="340" customFormat="false" ht="23.85" hidden="false" customHeight="false" outlineLevel="0" collapsed="false">
      <c r="A340" s="11" t="s">
        <v>1923</v>
      </c>
      <c r="B340" s="11" t="s">
        <v>1896</v>
      </c>
      <c r="C340" s="11" t="s">
        <v>1897</v>
      </c>
      <c r="D340" s="11" t="s">
        <v>1924</v>
      </c>
      <c r="E340" s="11" t="s">
        <v>1925</v>
      </c>
      <c r="F340" s="11" t="s">
        <v>1926</v>
      </c>
      <c r="G340" s="11" t="s">
        <v>284</v>
      </c>
      <c r="H340" s="11" t="s">
        <v>291</v>
      </c>
      <c r="I340" s="11" t="s">
        <v>292</v>
      </c>
      <c r="J340" s="15" t="s">
        <v>100</v>
      </c>
      <c r="K340" s="15" t="s">
        <v>101</v>
      </c>
      <c r="L340" s="15" t="n">
        <v>5</v>
      </c>
      <c r="M340" s="15" t="n">
        <v>13</v>
      </c>
      <c r="N340" s="11" t="str">
        <f aca="false">IF(M340&lt;=4,"R1 Foundation",IF(M340&lt;=8,"R2 Core Clinic",IF(M340&lt;=13,"R3 Revenue &amp; Messaging",IF(M340&lt;=18,"R4 Patient &amp; Platform",IF(M340&lt;=20,"R5 Harden","R6 Launch")))))</f>
        <v>R3 Revenue &amp; Messaging</v>
      </c>
      <c r="O340" s="16" t="n">
        <f aca="false">L340*README!$B$32</f>
        <v>3</v>
      </c>
      <c r="P340" s="11" t="s">
        <v>1913</v>
      </c>
      <c r="Q340" s="11" t="s">
        <v>1927</v>
      </c>
      <c r="R340" s="11" t="s">
        <v>103</v>
      </c>
      <c r="S340" s="11"/>
    </row>
    <row r="341" customFormat="false" ht="15" hidden="false" customHeight="false" outlineLevel="0" collapsed="false">
      <c r="A341" s="17" t="s">
        <v>1928</v>
      </c>
      <c r="B341" s="17" t="s">
        <v>1896</v>
      </c>
      <c r="C341" s="17" t="s">
        <v>1897</v>
      </c>
      <c r="D341" s="17" t="s">
        <v>1929</v>
      </c>
      <c r="E341" s="17" t="s">
        <v>1930</v>
      </c>
      <c r="F341" s="17"/>
      <c r="G341" s="17" t="s">
        <v>98</v>
      </c>
      <c r="H341" s="17" t="s">
        <v>99</v>
      </c>
      <c r="I341" s="17" t="s">
        <v>303</v>
      </c>
      <c r="J341" s="18" t="s">
        <v>100</v>
      </c>
      <c r="K341" s="18" t="s">
        <v>101</v>
      </c>
      <c r="L341" s="18" t="n">
        <v>3</v>
      </c>
      <c r="M341" s="18" t="n">
        <v>18</v>
      </c>
      <c r="N341" s="17" t="str">
        <f aca="false">IF(M341&lt;=4,"R1 Foundation",IF(M341&lt;=8,"R2 Core Clinic",IF(M341&lt;=13,"R3 Revenue &amp; Messaging",IF(M341&lt;=18,"R4 Patient &amp; Platform",IF(M341&lt;=20,"R5 Harden","R6 Launch")))))</f>
        <v>R4 Patient &amp; Platform</v>
      </c>
      <c r="O341" s="19" t="n">
        <f aca="false">L341*README!$B$32</f>
        <v>1.8</v>
      </c>
      <c r="P341" s="17" t="s">
        <v>1931</v>
      </c>
      <c r="Q341" s="17" t="s">
        <v>1932</v>
      </c>
      <c r="R341" s="17" t="s">
        <v>103</v>
      </c>
      <c r="S341" s="17"/>
    </row>
    <row r="342" customFormat="false" ht="23.85" hidden="false" customHeight="false" outlineLevel="0" collapsed="false">
      <c r="A342" s="11" t="s">
        <v>1933</v>
      </c>
      <c r="B342" s="11" t="s">
        <v>1896</v>
      </c>
      <c r="C342" s="11" t="s">
        <v>1897</v>
      </c>
      <c r="D342" s="11" t="s">
        <v>1934</v>
      </c>
      <c r="E342" s="11" t="s">
        <v>1935</v>
      </c>
      <c r="F342" s="11" t="s">
        <v>205</v>
      </c>
      <c r="G342" s="11" t="s">
        <v>98</v>
      </c>
      <c r="H342" s="11" t="s">
        <v>99</v>
      </c>
      <c r="I342" s="11" t="s">
        <v>168</v>
      </c>
      <c r="J342" s="15" t="s">
        <v>130</v>
      </c>
      <c r="K342" s="15" t="s">
        <v>211</v>
      </c>
      <c r="L342" s="15" t="n">
        <v>8</v>
      </c>
      <c r="M342" s="15" t="n">
        <v>20</v>
      </c>
      <c r="N342" s="11" t="str">
        <f aca="false">IF(M342&lt;=4,"R1 Foundation",IF(M342&lt;=8,"R2 Core Clinic",IF(M342&lt;=13,"R3 Revenue &amp; Messaging",IF(M342&lt;=18,"R4 Patient &amp; Platform",IF(M342&lt;=20,"R5 Harden","R6 Launch")))))</f>
        <v>R5 Harden</v>
      </c>
      <c r="O342" s="16" t="n">
        <f aca="false">L342*README!$B$32</f>
        <v>4.8</v>
      </c>
      <c r="P342" s="11" t="s">
        <v>1936</v>
      </c>
      <c r="Q342" s="11" t="s">
        <v>1937</v>
      </c>
      <c r="R342" s="11" t="s">
        <v>103</v>
      </c>
      <c r="S342" s="11"/>
    </row>
    <row r="343" customFormat="false" ht="23.85" hidden="false" customHeight="false" outlineLevel="0" collapsed="false">
      <c r="A343" s="17" t="s">
        <v>1938</v>
      </c>
      <c r="B343" s="17" t="s">
        <v>1939</v>
      </c>
      <c r="C343" s="17" t="s">
        <v>1940</v>
      </c>
      <c r="D343" s="17" t="s">
        <v>1941</v>
      </c>
      <c r="E343" s="17" t="s">
        <v>1942</v>
      </c>
      <c r="F343" s="17" t="s">
        <v>242</v>
      </c>
      <c r="G343" s="17" t="s">
        <v>233</v>
      </c>
      <c r="H343" s="17" t="s">
        <v>99</v>
      </c>
      <c r="I343" s="17" t="s">
        <v>114</v>
      </c>
      <c r="J343" s="18" t="s">
        <v>130</v>
      </c>
      <c r="K343" s="18" t="s">
        <v>101</v>
      </c>
      <c r="L343" s="18" t="n">
        <v>8</v>
      </c>
      <c r="M343" s="18" t="n">
        <v>19</v>
      </c>
      <c r="N343" s="17" t="str">
        <f aca="false">IF(M343&lt;=4,"R1 Foundation",IF(M343&lt;=8,"R2 Core Clinic",IF(M343&lt;=13,"R3 Revenue &amp; Messaging",IF(M343&lt;=18,"R4 Patient &amp; Platform",IF(M343&lt;=20,"R5 Harden","R6 Launch")))))</f>
        <v>R5 Harden</v>
      </c>
      <c r="O343" s="19" t="n">
        <f aca="false">L343*README!$B$32</f>
        <v>4.8</v>
      </c>
      <c r="P343" s="17" t="s">
        <v>1943</v>
      </c>
      <c r="Q343" s="17" t="s">
        <v>1944</v>
      </c>
      <c r="R343" s="17" t="s">
        <v>103</v>
      </c>
      <c r="S343" s="17"/>
    </row>
    <row r="344" customFormat="false" ht="23.85" hidden="false" customHeight="false" outlineLevel="0" collapsed="false">
      <c r="A344" s="11" t="s">
        <v>1945</v>
      </c>
      <c r="B344" s="11" t="s">
        <v>1939</v>
      </c>
      <c r="C344" s="11" t="s">
        <v>1940</v>
      </c>
      <c r="D344" s="11" t="s">
        <v>1946</v>
      </c>
      <c r="E344" s="11" t="s">
        <v>1947</v>
      </c>
      <c r="F344" s="11"/>
      <c r="G344" s="11" t="s">
        <v>98</v>
      </c>
      <c r="H344" s="11" t="s">
        <v>99</v>
      </c>
      <c r="I344" s="11" t="s">
        <v>1948</v>
      </c>
      <c r="J344" s="15" t="s">
        <v>100</v>
      </c>
      <c r="K344" s="15" t="s">
        <v>101</v>
      </c>
      <c r="L344" s="15" t="n">
        <v>5</v>
      </c>
      <c r="M344" s="15" t="n">
        <v>22</v>
      </c>
      <c r="N344" s="11" t="str">
        <f aca="false">IF(M344&lt;=4,"R1 Foundation",IF(M344&lt;=8,"R2 Core Clinic",IF(M344&lt;=13,"R3 Revenue &amp; Messaging",IF(M344&lt;=18,"R4 Patient &amp; Platform",IF(M344&lt;=20,"R5 Harden","R6 Launch")))))</f>
        <v>R6 Launch</v>
      </c>
      <c r="O344" s="16" t="n">
        <f aca="false">L344*README!$B$32</f>
        <v>3</v>
      </c>
      <c r="P344" s="11" t="s">
        <v>1800</v>
      </c>
      <c r="Q344" s="11" t="s">
        <v>1949</v>
      </c>
      <c r="R344" s="11" t="s">
        <v>103</v>
      </c>
      <c r="S344" s="11"/>
    </row>
    <row r="345" customFormat="false" ht="23.85" hidden="false" customHeight="false" outlineLevel="0" collapsed="false">
      <c r="A345" s="17" t="s">
        <v>1950</v>
      </c>
      <c r="B345" s="17" t="s">
        <v>1939</v>
      </c>
      <c r="C345" s="17" t="s">
        <v>1940</v>
      </c>
      <c r="D345" s="17" t="s">
        <v>1951</v>
      </c>
      <c r="E345" s="17" t="s">
        <v>1952</v>
      </c>
      <c r="F345" s="17"/>
      <c r="G345" s="17" t="s">
        <v>98</v>
      </c>
      <c r="H345" s="17" t="s">
        <v>99</v>
      </c>
      <c r="I345" s="17" t="s">
        <v>1948</v>
      </c>
      <c r="J345" s="18" t="s">
        <v>100</v>
      </c>
      <c r="K345" s="18" t="s">
        <v>101</v>
      </c>
      <c r="L345" s="18" t="n">
        <v>5</v>
      </c>
      <c r="M345" s="18" t="n">
        <v>22</v>
      </c>
      <c r="N345" s="17" t="str">
        <f aca="false">IF(M345&lt;=4,"R1 Foundation",IF(M345&lt;=8,"R2 Core Clinic",IF(M345&lt;=13,"R3 Revenue &amp; Messaging",IF(M345&lt;=18,"R4 Patient &amp; Platform",IF(M345&lt;=20,"R5 Harden","R6 Launch")))))</f>
        <v>R6 Launch</v>
      </c>
      <c r="O345" s="19" t="n">
        <f aca="false">L345*README!$B$32</f>
        <v>3</v>
      </c>
      <c r="P345" s="17" t="s">
        <v>1841</v>
      </c>
      <c r="Q345" s="17" t="s">
        <v>1953</v>
      </c>
      <c r="R345" s="17" t="s">
        <v>103</v>
      </c>
      <c r="S345" s="17"/>
    </row>
    <row r="346" customFormat="false" ht="23.85" hidden="false" customHeight="false" outlineLevel="0" collapsed="false">
      <c r="A346" s="11" t="s">
        <v>1954</v>
      </c>
      <c r="B346" s="11" t="s">
        <v>1939</v>
      </c>
      <c r="C346" s="11" t="s">
        <v>1940</v>
      </c>
      <c r="D346" s="11" t="s">
        <v>1955</v>
      </c>
      <c r="E346" s="11" t="s">
        <v>1956</v>
      </c>
      <c r="F346" s="11" t="s">
        <v>1957</v>
      </c>
      <c r="G346" s="11" t="s">
        <v>98</v>
      </c>
      <c r="H346" s="11" t="s">
        <v>99</v>
      </c>
      <c r="I346" s="11" t="s">
        <v>1948</v>
      </c>
      <c r="J346" s="15" t="s">
        <v>100</v>
      </c>
      <c r="K346" s="15" t="s">
        <v>101</v>
      </c>
      <c r="L346" s="15" t="n">
        <v>5</v>
      </c>
      <c r="M346" s="15" t="n">
        <v>20</v>
      </c>
      <c r="N346" s="11" t="str">
        <f aca="false">IF(M346&lt;=4,"R1 Foundation",IF(M346&lt;=8,"R2 Core Clinic",IF(M346&lt;=13,"R3 Revenue &amp; Messaging",IF(M346&lt;=18,"R4 Patient &amp; Platform",IF(M346&lt;=20,"R5 Harden","R6 Launch")))))</f>
        <v>R5 Harden</v>
      </c>
      <c r="O346" s="16" t="n">
        <f aca="false">L346*README!$B$32</f>
        <v>3</v>
      </c>
      <c r="P346" s="11" t="s">
        <v>1958</v>
      </c>
      <c r="Q346" s="11" t="s">
        <v>1959</v>
      </c>
      <c r="R346" s="11" t="s">
        <v>103</v>
      </c>
      <c r="S346" s="11"/>
    </row>
    <row r="347" customFormat="false" ht="23.85" hidden="false" customHeight="false" outlineLevel="0" collapsed="false">
      <c r="A347" s="17" t="s">
        <v>1960</v>
      </c>
      <c r="B347" s="17" t="s">
        <v>1939</v>
      </c>
      <c r="C347" s="17" t="s">
        <v>1940</v>
      </c>
      <c r="D347" s="17" t="s">
        <v>1961</v>
      </c>
      <c r="E347" s="17" t="s">
        <v>1962</v>
      </c>
      <c r="F347" s="17"/>
      <c r="G347" s="17" t="s">
        <v>98</v>
      </c>
      <c r="H347" s="17" t="s">
        <v>99</v>
      </c>
      <c r="I347" s="17" t="s">
        <v>1948</v>
      </c>
      <c r="J347" s="18" t="s">
        <v>100</v>
      </c>
      <c r="K347" s="18" t="s">
        <v>101</v>
      </c>
      <c r="L347" s="18" t="n">
        <v>8</v>
      </c>
      <c r="M347" s="18" t="n">
        <v>21</v>
      </c>
      <c r="N347" s="17" t="str">
        <f aca="false">IF(M347&lt;=4,"R1 Foundation",IF(M347&lt;=8,"R2 Core Clinic",IF(M347&lt;=13,"R3 Revenue &amp; Messaging",IF(M347&lt;=18,"R4 Patient &amp; Platform",IF(M347&lt;=20,"R5 Harden","R6 Launch")))))</f>
        <v>R6 Launch</v>
      </c>
      <c r="O347" s="19" t="n">
        <f aca="false">L347*README!$B$32</f>
        <v>4.8</v>
      </c>
      <c r="P347" s="17" t="s">
        <v>1954</v>
      </c>
      <c r="Q347" s="17" t="s">
        <v>1963</v>
      </c>
      <c r="R347" s="17" t="s">
        <v>103</v>
      </c>
      <c r="S347" s="17"/>
    </row>
    <row r="348" customFormat="false" ht="23.85" hidden="false" customHeight="false" outlineLevel="0" collapsed="false">
      <c r="A348" s="11" t="s">
        <v>1964</v>
      </c>
      <c r="B348" s="11" t="s">
        <v>1939</v>
      </c>
      <c r="C348" s="11" t="s">
        <v>1940</v>
      </c>
      <c r="D348" s="11" t="s">
        <v>1965</v>
      </c>
      <c r="E348" s="11" t="s">
        <v>1966</v>
      </c>
      <c r="F348" s="11" t="s">
        <v>1553</v>
      </c>
      <c r="G348" s="11" t="s">
        <v>107</v>
      </c>
      <c r="H348" s="11" t="s">
        <v>107</v>
      </c>
      <c r="I348" s="11" t="s">
        <v>1948</v>
      </c>
      <c r="J348" s="15" t="s">
        <v>100</v>
      </c>
      <c r="K348" s="15" t="s">
        <v>101</v>
      </c>
      <c r="L348" s="15" t="n">
        <v>3</v>
      </c>
      <c r="M348" s="15" t="n">
        <v>22</v>
      </c>
      <c r="N348" s="11" t="str">
        <f aca="false">IF(M348&lt;=4,"R1 Foundation",IF(M348&lt;=8,"R2 Core Clinic",IF(M348&lt;=13,"R3 Revenue &amp; Messaging",IF(M348&lt;=18,"R4 Patient &amp; Platform",IF(M348&lt;=20,"R5 Harden","R6 Launch")))))</f>
        <v>R6 Launch</v>
      </c>
      <c r="O348" s="16" t="n">
        <f aca="false">L348*README!$B$32</f>
        <v>1.8</v>
      </c>
      <c r="P348" s="11" t="s">
        <v>1967</v>
      </c>
      <c r="Q348" s="11" t="s">
        <v>1968</v>
      </c>
      <c r="R348" s="11" t="s">
        <v>103</v>
      </c>
      <c r="S348" s="11"/>
    </row>
    <row r="349" customFormat="false" ht="23.85" hidden="false" customHeight="false" outlineLevel="0" collapsed="false">
      <c r="A349" s="17" t="s">
        <v>1969</v>
      </c>
      <c r="B349" s="17" t="s">
        <v>1939</v>
      </c>
      <c r="C349" s="17" t="s">
        <v>1940</v>
      </c>
      <c r="D349" s="17" t="s">
        <v>1970</v>
      </c>
      <c r="E349" s="17" t="s">
        <v>1971</v>
      </c>
      <c r="F349" s="17" t="s">
        <v>1707</v>
      </c>
      <c r="G349" s="17" t="s">
        <v>98</v>
      </c>
      <c r="H349" s="17" t="s">
        <v>99</v>
      </c>
      <c r="I349" s="17" t="s">
        <v>1402</v>
      </c>
      <c r="J349" s="18" t="s">
        <v>130</v>
      </c>
      <c r="K349" s="18" t="s">
        <v>101</v>
      </c>
      <c r="L349" s="18" t="n">
        <v>3</v>
      </c>
      <c r="M349" s="18" t="n">
        <v>22</v>
      </c>
      <c r="N349" s="17" t="str">
        <f aca="false">IF(M349&lt;=4,"R1 Foundation",IF(M349&lt;=8,"R2 Core Clinic",IF(M349&lt;=13,"R3 Revenue &amp; Messaging",IF(M349&lt;=18,"R4 Patient &amp; Platform",IF(M349&lt;=20,"R5 Harden","R6 Launch")))))</f>
        <v>R6 Launch</v>
      </c>
      <c r="O349" s="19" t="n">
        <f aca="false">L349*README!$B$32</f>
        <v>1.8</v>
      </c>
      <c r="P349" s="17" t="s">
        <v>1455</v>
      </c>
      <c r="Q349" s="17" t="s">
        <v>1972</v>
      </c>
      <c r="R349" s="17" t="s">
        <v>103</v>
      </c>
      <c r="S349" s="17"/>
    </row>
    <row r="350" customFormat="false" ht="35.05" hidden="false" customHeight="false" outlineLevel="0" collapsed="false">
      <c r="A350" s="11" t="s">
        <v>1973</v>
      </c>
      <c r="B350" s="11" t="s">
        <v>1939</v>
      </c>
      <c r="C350" s="11" t="s">
        <v>1940</v>
      </c>
      <c r="D350" s="11" t="s">
        <v>1974</v>
      </c>
      <c r="E350" s="11" t="s">
        <v>1975</v>
      </c>
      <c r="F350" s="11"/>
      <c r="G350" s="11" t="s">
        <v>98</v>
      </c>
      <c r="H350" s="11" t="s">
        <v>99</v>
      </c>
      <c r="I350" s="11" t="s">
        <v>1948</v>
      </c>
      <c r="J350" s="15" t="s">
        <v>100</v>
      </c>
      <c r="K350" s="15" t="s">
        <v>101</v>
      </c>
      <c r="L350" s="15" t="n">
        <v>5</v>
      </c>
      <c r="M350" s="15" t="n">
        <v>23</v>
      </c>
      <c r="N350" s="11" t="str">
        <f aca="false">IF(M350&lt;=4,"R1 Foundation",IF(M350&lt;=8,"R2 Core Clinic",IF(M350&lt;=13,"R3 Revenue &amp; Messaging",IF(M350&lt;=18,"R4 Patient &amp; Platform",IF(M350&lt;=20,"R5 Harden","R6 Launch")))))</f>
        <v>R6 Launch</v>
      </c>
      <c r="O350" s="16" t="n">
        <f aca="false">L350*README!$B$32</f>
        <v>3</v>
      </c>
      <c r="P350" s="11" t="s">
        <v>1976</v>
      </c>
      <c r="Q350" s="11" t="s">
        <v>1977</v>
      </c>
      <c r="R350" s="11" t="s">
        <v>103</v>
      </c>
      <c r="S350" s="11"/>
    </row>
    <row r="352" customFormat="false" ht="15" hidden="false" customHeight="false" outlineLevel="0" collapsed="false">
      <c r="A352" s="3" t="s">
        <v>1978</v>
      </c>
      <c r="D352" s="3" t="str">
        <f aca="false">COUNTA(A2:A350)&amp;" tasks"</f>
        <v>349 tasks</v>
      </c>
      <c r="L352" s="3" t="n">
        <f aca="false">SUM(L2:L350)</f>
        <v>2260</v>
      </c>
      <c r="O352" s="20" t="n">
        <f aca="false">SUM(O2:O350)</f>
        <v>1356</v>
      </c>
    </row>
  </sheetData>
  <autoFilter ref="A1:S350"/>
  <conditionalFormatting sqref="R2:R350">
    <cfRule type="cellIs" priority="2" operator="equal" aboveAverage="0" equalAverage="0" bottom="0" percent="0" rank="0" text="" dxfId="7">
      <formula>"Done"</formula>
    </cfRule>
    <cfRule type="cellIs" priority="3" operator="equal" aboveAverage="0" equalAverage="0" bottom="0" percent="0" rank="0" text="" dxfId="8">
      <formula>"Blocked"</formula>
    </cfRule>
  </conditionalFormatting>
  <conditionalFormatting sqref="J2:J350">
    <cfRule type="cellIs" priority="4" operator="equal" aboveAverage="0" equalAverage="0" bottom="0" percent="0" rank="0" text="" dxfId="9">
      <formula>"Must"</formula>
    </cfRule>
  </conditionalFormatting>
  <conditionalFormatting sqref="K2:K350">
    <cfRule type="cellIs" priority="5" operator="equal" aboveAverage="0" equalAverage="0" bottom="0" percent="0" rank="0" text="" dxfId="10">
      <formula>"Phase 3"</formula>
    </cfRule>
    <cfRule type="cellIs" priority="6" operator="equal" aboveAverage="0" equalAverage="0" bottom="0" percent="0" rank="0" text="" dxfId="11">
      <formula>"Phase 2"</formula>
    </cfRule>
  </conditionalFormatting>
  <dataValidations count="3">
    <dataValidation allowBlank="true" errorStyle="stop" operator="between" showDropDown="false" showErrorMessage="false" showInputMessage="false" sqref="R2:R350" type="list">
      <formula1>"Not started,In progress,Blocked,In review,Done"</formula1>
      <formula2>0</formula2>
    </dataValidation>
    <dataValidation allowBlank="true" errorStyle="stop" operator="between" showDropDown="false" showErrorMessage="false" showInputMessage="false" sqref="J2:J350" type="list">
      <formula1>"Must,Should,Could"</formula1>
      <formula2>0</formula2>
    </dataValidation>
    <dataValidation allowBlank="true" errorStyle="stop" operator="between" showDropDown="false" showErrorMessage="false" showInputMessage="false" sqref="K2:K350" type="list">
      <formula1>"MVP,Phase 2,Phase 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0"/>
    <col collapsed="false" customWidth="true" hidden="false" outlineLevel="0" max="3" min="3" style="0" width="72"/>
    <col collapsed="false" customWidth="true" hidden="false" outlineLevel="0" max="4" min="4" style="0" width="20"/>
    <col collapsed="false" customWidth="true" hidden="false" outlineLevel="0" max="5" min="5" style="0" width="34"/>
    <col collapsed="false" customWidth="true" hidden="false" outlineLevel="0" max="7" min="6" style="0" width="12"/>
  </cols>
  <sheetData>
    <row r="1" customFormat="false" ht="19.7" hidden="false" customHeight="false" outlineLevel="0" collapsed="false">
      <c r="A1" s="1" t="s">
        <v>1979</v>
      </c>
    </row>
    <row r="2" customFormat="false" ht="15" hidden="false" customHeight="false" outlineLevel="0" collapsed="false">
      <c r="A2" s="14" t="s">
        <v>1980</v>
      </c>
    </row>
    <row r="4" customFormat="false" ht="15" hidden="false" customHeight="false" outlineLevel="0" collapsed="false">
      <c r="A4" s="8" t="s">
        <v>1981</v>
      </c>
      <c r="B4" s="8" t="s">
        <v>1982</v>
      </c>
      <c r="C4" s="8" t="s">
        <v>1983</v>
      </c>
      <c r="D4" s="8" t="s">
        <v>1984</v>
      </c>
      <c r="E4" s="8" t="s">
        <v>1985</v>
      </c>
      <c r="F4" s="8" t="s">
        <v>1986</v>
      </c>
      <c r="G4" s="8" t="s">
        <v>1987</v>
      </c>
    </row>
    <row r="5" customFormat="false" ht="15" hidden="false" customHeight="false" outlineLevel="0" collapsed="false">
      <c r="A5" s="21" t="s">
        <v>1310</v>
      </c>
      <c r="B5" s="21" t="s">
        <v>1307</v>
      </c>
      <c r="C5" s="11" t="s">
        <v>1988</v>
      </c>
      <c r="D5" s="15" t="s">
        <v>101</v>
      </c>
      <c r="E5" s="11" t="s">
        <v>1989</v>
      </c>
      <c r="F5" s="15" t="n">
        <v>3</v>
      </c>
      <c r="G5" s="15" t="str">
        <f aca="false">IF(F5&gt;0,"Yes","NO")</f>
        <v>Yes</v>
      </c>
    </row>
    <row r="6" customFormat="false" ht="15" hidden="false" customHeight="false" outlineLevel="0" collapsed="false">
      <c r="A6" s="22" t="s">
        <v>1990</v>
      </c>
      <c r="B6" s="22" t="s">
        <v>1307</v>
      </c>
      <c r="C6" s="17" t="s">
        <v>1991</v>
      </c>
      <c r="D6" s="18" t="s">
        <v>211</v>
      </c>
      <c r="E6" s="17" t="s">
        <v>1313</v>
      </c>
      <c r="F6" s="18" t="n">
        <v>1</v>
      </c>
      <c r="G6" s="18" t="str">
        <f aca="false">IF(F6&gt;0,"Yes","NO")</f>
        <v>Yes</v>
      </c>
    </row>
    <row r="7" customFormat="false" ht="15" hidden="false" customHeight="false" outlineLevel="0" collapsed="false">
      <c r="A7" s="21" t="s">
        <v>31</v>
      </c>
      <c r="B7" s="21" t="s">
        <v>1307</v>
      </c>
      <c r="C7" s="11"/>
      <c r="D7" s="15" t="s">
        <v>211</v>
      </c>
      <c r="E7" s="11" t="s">
        <v>1318</v>
      </c>
      <c r="F7" s="15" t="n">
        <v>1</v>
      </c>
      <c r="G7" s="15" t="str">
        <f aca="false">IF(F7&gt;0,"Yes","NO")</f>
        <v>Yes</v>
      </c>
    </row>
    <row r="8" customFormat="false" ht="15" hidden="false" customHeight="false" outlineLevel="0" collapsed="false">
      <c r="A8" s="22" t="s">
        <v>1342</v>
      </c>
      <c r="B8" s="22" t="s">
        <v>1307</v>
      </c>
      <c r="C8" s="17" t="s">
        <v>1992</v>
      </c>
      <c r="D8" s="18" t="s">
        <v>211</v>
      </c>
      <c r="E8" s="17" t="s">
        <v>1993</v>
      </c>
      <c r="F8" s="18" t="n">
        <v>2</v>
      </c>
      <c r="G8" s="18" t="str">
        <f aca="false">IF(F8&gt;0,"Yes","NO")</f>
        <v>Yes</v>
      </c>
    </row>
    <row r="9" customFormat="false" ht="23.85" hidden="false" customHeight="false" outlineLevel="0" collapsed="false">
      <c r="A9" s="21" t="s">
        <v>1994</v>
      </c>
      <c r="B9" s="21" t="s">
        <v>1307</v>
      </c>
      <c r="C9" s="11" t="s">
        <v>1995</v>
      </c>
      <c r="D9" s="15" t="s">
        <v>211</v>
      </c>
      <c r="E9" s="11" t="s">
        <v>1996</v>
      </c>
      <c r="F9" s="15" t="n">
        <v>2</v>
      </c>
      <c r="G9" s="15" t="str">
        <f aca="false">IF(F9&gt;0,"Yes","NO")</f>
        <v>Yes</v>
      </c>
    </row>
    <row r="10" customFormat="false" ht="15" hidden="false" customHeight="false" outlineLevel="0" collapsed="false">
      <c r="A10" s="22" t="s">
        <v>1997</v>
      </c>
      <c r="B10" s="22" t="s">
        <v>1998</v>
      </c>
      <c r="C10" s="17" t="s">
        <v>1999</v>
      </c>
      <c r="D10" s="18" t="s">
        <v>211</v>
      </c>
      <c r="E10" s="17" t="s">
        <v>863</v>
      </c>
      <c r="F10" s="18" t="n">
        <v>1</v>
      </c>
      <c r="G10" s="18" t="str">
        <f aca="false">IF(F10&gt;0,"Yes","NO")</f>
        <v>Yes</v>
      </c>
    </row>
    <row r="11" customFormat="false" ht="15" hidden="false" customHeight="false" outlineLevel="0" collapsed="false">
      <c r="A11" s="21" t="s">
        <v>2000</v>
      </c>
      <c r="B11" s="21" t="s">
        <v>1998</v>
      </c>
      <c r="C11" s="11" t="s">
        <v>2001</v>
      </c>
      <c r="D11" s="15" t="s">
        <v>211</v>
      </c>
      <c r="E11" s="11" t="s">
        <v>863</v>
      </c>
      <c r="F11" s="15" t="n">
        <v>1</v>
      </c>
      <c r="G11" s="15" t="str">
        <f aca="false">IF(F11&gt;0,"Yes","NO")</f>
        <v>Yes</v>
      </c>
    </row>
    <row r="12" customFormat="false" ht="15" hidden="false" customHeight="false" outlineLevel="0" collapsed="false">
      <c r="A12" s="22" t="s">
        <v>1029</v>
      </c>
      <c r="B12" s="22" t="s">
        <v>981</v>
      </c>
      <c r="C12" s="17" t="s">
        <v>2002</v>
      </c>
      <c r="D12" s="18" t="s">
        <v>101</v>
      </c>
      <c r="E12" s="17" t="s">
        <v>2003</v>
      </c>
      <c r="F12" s="18" t="n">
        <v>2</v>
      </c>
      <c r="G12" s="18" t="str">
        <f aca="false">IF(F12&gt;0,"Yes","NO")</f>
        <v>Yes</v>
      </c>
    </row>
    <row r="13" customFormat="false" ht="15" hidden="false" customHeight="false" outlineLevel="0" collapsed="false">
      <c r="A13" s="21" t="s">
        <v>1023</v>
      </c>
      <c r="B13" s="21" t="s">
        <v>981</v>
      </c>
      <c r="C13" s="11" t="s">
        <v>1021</v>
      </c>
      <c r="D13" s="15" t="s">
        <v>101</v>
      </c>
      <c r="E13" s="11" t="s">
        <v>2004</v>
      </c>
      <c r="F13" s="15" t="n">
        <v>2</v>
      </c>
      <c r="G13" s="15" t="str">
        <f aca="false">IF(F13&gt;0,"Yes","NO")</f>
        <v>Yes</v>
      </c>
    </row>
    <row r="14" customFormat="false" ht="15" hidden="false" customHeight="false" outlineLevel="0" collapsed="false">
      <c r="A14" s="22" t="s">
        <v>2005</v>
      </c>
      <c r="B14" s="22" t="s">
        <v>981</v>
      </c>
      <c r="C14" s="17" t="s">
        <v>2006</v>
      </c>
      <c r="D14" s="18" t="s">
        <v>101</v>
      </c>
      <c r="E14" s="17" t="s">
        <v>2007</v>
      </c>
      <c r="F14" s="18" t="n">
        <v>2</v>
      </c>
      <c r="G14" s="18" t="str">
        <f aca="false">IF(F14&gt;0,"Yes","NO")</f>
        <v>Yes</v>
      </c>
    </row>
    <row r="15" customFormat="false" ht="15" hidden="false" customHeight="false" outlineLevel="0" collapsed="false">
      <c r="A15" s="21" t="s">
        <v>2008</v>
      </c>
      <c r="B15" s="21" t="s">
        <v>419</v>
      </c>
      <c r="C15" s="11" t="s">
        <v>2009</v>
      </c>
      <c r="D15" s="15" t="s">
        <v>101</v>
      </c>
      <c r="E15" s="11" t="s">
        <v>2010</v>
      </c>
      <c r="F15" s="15" t="n">
        <v>3</v>
      </c>
      <c r="G15" s="15" t="str">
        <f aca="false">IF(F15&gt;0,"Yes","NO")</f>
        <v>Yes</v>
      </c>
    </row>
    <row r="16" customFormat="false" ht="15" hidden="false" customHeight="false" outlineLevel="0" collapsed="false">
      <c r="A16" s="22" t="s">
        <v>428</v>
      </c>
      <c r="B16" s="22" t="s">
        <v>419</v>
      </c>
      <c r="C16" s="17" t="s">
        <v>2011</v>
      </c>
      <c r="D16" s="18" t="s">
        <v>101</v>
      </c>
      <c r="E16" s="17" t="s">
        <v>425</v>
      </c>
      <c r="F16" s="18" t="n">
        <v>1</v>
      </c>
      <c r="G16" s="18" t="str">
        <f aca="false">IF(F16&gt;0,"Yes","NO")</f>
        <v>Yes</v>
      </c>
    </row>
    <row r="17" customFormat="false" ht="23.85" hidden="false" customHeight="false" outlineLevel="0" collapsed="false">
      <c r="A17" s="21" t="s">
        <v>444</v>
      </c>
      <c r="B17" s="21" t="s">
        <v>419</v>
      </c>
      <c r="C17" s="11" t="s">
        <v>2012</v>
      </c>
      <c r="D17" s="15" t="s">
        <v>101</v>
      </c>
      <c r="E17" s="11" t="s">
        <v>2013</v>
      </c>
      <c r="F17" s="15" t="n">
        <v>5</v>
      </c>
      <c r="G17" s="15" t="str">
        <f aca="false">IF(F17&gt;0,"Yes","NO")</f>
        <v>Yes</v>
      </c>
    </row>
    <row r="18" customFormat="false" ht="15" hidden="false" customHeight="false" outlineLevel="0" collapsed="false">
      <c r="A18" s="22" t="s">
        <v>433</v>
      </c>
      <c r="B18" s="22" t="s">
        <v>419</v>
      </c>
      <c r="C18" s="17" t="s">
        <v>431</v>
      </c>
      <c r="D18" s="18" t="s">
        <v>101</v>
      </c>
      <c r="E18" s="17" t="s">
        <v>430</v>
      </c>
      <c r="F18" s="18" t="n">
        <v>1</v>
      </c>
      <c r="G18" s="18" t="str">
        <f aca="false">IF(F18&gt;0,"Yes","NO")</f>
        <v>Yes</v>
      </c>
    </row>
    <row r="19" customFormat="false" ht="23.85" hidden="false" customHeight="false" outlineLevel="0" collapsed="false">
      <c r="A19" s="21" t="s">
        <v>2014</v>
      </c>
      <c r="B19" s="21" t="s">
        <v>419</v>
      </c>
      <c r="C19" s="11" t="s">
        <v>2015</v>
      </c>
      <c r="D19" s="15" t="s">
        <v>101</v>
      </c>
      <c r="E19" s="11" t="s">
        <v>2016</v>
      </c>
      <c r="F19" s="15" t="n">
        <v>5</v>
      </c>
      <c r="G19" s="15" t="str">
        <f aca="false">IF(F19&gt;0,"Yes","NO")</f>
        <v>Yes</v>
      </c>
    </row>
    <row r="20" customFormat="false" ht="15" hidden="false" customHeight="false" outlineLevel="0" collapsed="false">
      <c r="A20" s="22" t="s">
        <v>438</v>
      </c>
      <c r="B20" s="22" t="s">
        <v>419</v>
      </c>
      <c r="C20" s="17" t="s">
        <v>2017</v>
      </c>
      <c r="D20" s="18" t="s">
        <v>101</v>
      </c>
      <c r="E20" s="17" t="s">
        <v>2018</v>
      </c>
      <c r="F20" s="18" t="n">
        <v>2</v>
      </c>
      <c r="G20" s="18" t="str">
        <f aca="false">IF(F20&gt;0,"Yes","NO")</f>
        <v>Yes</v>
      </c>
    </row>
    <row r="21" customFormat="false" ht="15" hidden="false" customHeight="false" outlineLevel="0" collapsed="false">
      <c r="A21" s="21" t="s">
        <v>449</v>
      </c>
      <c r="B21" s="21" t="s">
        <v>419</v>
      </c>
      <c r="C21" s="11" t="s">
        <v>2019</v>
      </c>
      <c r="D21" s="15" t="s">
        <v>101</v>
      </c>
      <c r="E21" s="11" t="s">
        <v>2020</v>
      </c>
      <c r="F21" s="15" t="n">
        <v>2</v>
      </c>
      <c r="G21" s="15" t="str">
        <f aca="false">IF(F21&gt;0,"Yes","NO")</f>
        <v>Yes</v>
      </c>
    </row>
    <row r="22" customFormat="false" ht="15" hidden="false" customHeight="false" outlineLevel="0" collapsed="false">
      <c r="A22" s="22" t="s">
        <v>21</v>
      </c>
      <c r="B22" s="22" t="s">
        <v>419</v>
      </c>
      <c r="C22" s="17" t="s">
        <v>453</v>
      </c>
      <c r="D22" s="18" t="s">
        <v>101</v>
      </c>
      <c r="E22" s="17" t="s">
        <v>452</v>
      </c>
      <c r="F22" s="18" t="n">
        <v>1</v>
      </c>
      <c r="G22" s="18" t="str">
        <f aca="false">IF(F22&gt;0,"Yes","NO")</f>
        <v>Yes</v>
      </c>
    </row>
    <row r="23" customFormat="false" ht="15" hidden="false" customHeight="false" outlineLevel="0" collapsed="false">
      <c r="A23" s="21" t="s">
        <v>1063</v>
      </c>
      <c r="B23" s="21" t="s">
        <v>419</v>
      </c>
      <c r="C23" s="11" t="s">
        <v>2021</v>
      </c>
      <c r="D23" s="15" t="s">
        <v>101</v>
      </c>
      <c r="E23" s="11" t="s">
        <v>1058</v>
      </c>
      <c r="F23" s="15" t="n">
        <v>1</v>
      </c>
      <c r="G23" s="15" t="str">
        <f aca="false">IF(F23&gt;0,"Yes","NO")</f>
        <v>Yes</v>
      </c>
    </row>
    <row r="24" customFormat="false" ht="15" hidden="false" customHeight="false" outlineLevel="0" collapsed="false">
      <c r="A24" s="22" t="s">
        <v>325</v>
      </c>
      <c r="B24" s="22" t="s">
        <v>419</v>
      </c>
      <c r="C24" s="17" t="s">
        <v>2022</v>
      </c>
      <c r="D24" s="18" t="s">
        <v>101</v>
      </c>
      <c r="E24" s="17" t="s">
        <v>2023</v>
      </c>
      <c r="F24" s="18" t="n">
        <v>2</v>
      </c>
      <c r="G24" s="18" t="str">
        <f aca="false">IF(F24&gt;0,"Yes","NO")</f>
        <v>Yes</v>
      </c>
    </row>
    <row r="25" customFormat="false" ht="23.85" hidden="false" customHeight="false" outlineLevel="0" collapsed="false">
      <c r="A25" s="21" t="s">
        <v>2024</v>
      </c>
      <c r="B25" s="21" t="s">
        <v>419</v>
      </c>
      <c r="C25" s="11" t="s">
        <v>2025</v>
      </c>
      <c r="D25" s="15" t="s">
        <v>101</v>
      </c>
      <c r="E25" s="11" t="s">
        <v>2026</v>
      </c>
      <c r="F25" s="15" t="n">
        <v>5</v>
      </c>
      <c r="G25" s="15" t="str">
        <f aca="false">IF(F25&gt;0,"Yes","NO")</f>
        <v>Yes</v>
      </c>
    </row>
    <row r="26" customFormat="false" ht="15" hidden="false" customHeight="false" outlineLevel="0" collapsed="false">
      <c r="A26" s="22" t="s">
        <v>27</v>
      </c>
      <c r="B26" s="22" t="s">
        <v>2027</v>
      </c>
      <c r="C26" s="17" t="s">
        <v>2028</v>
      </c>
      <c r="D26" s="18" t="s">
        <v>211</v>
      </c>
      <c r="E26" s="17" t="s">
        <v>2029</v>
      </c>
      <c r="F26" s="18" t="n">
        <v>4</v>
      </c>
      <c r="G26" s="18" t="str">
        <f aca="false">IF(F26&gt;0,"Yes","NO")</f>
        <v>Yes</v>
      </c>
    </row>
    <row r="27" customFormat="false" ht="15" hidden="false" customHeight="false" outlineLevel="0" collapsed="false">
      <c r="A27" s="21" t="s">
        <v>2030</v>
      </c>
      <c r="B27" s="21" t="s">
        <v>2027</v>
      </c>
      <c r="C27" s="11" t="s">
        <v>2031</v>
      </c>
      <c r="D27" s="15" t="s">
        <v>460</v>
      </c>
      <c r="E27" s="11" t="s">
        <v>2032</v>
      </c>
      <c r="F27" s="15" t="n">
        <v>2</v>
      </c>
      <c r="G27" s="15" t="str">
        <f aca="false">IF(F27&gt;0,"Yes","NO")</f>
        <v>Yes</v>
      </c>
    </row>
    <row r="28" customFormat="false" ht="15" hidden="false" customHeight="false" outlineLevel="0" collapsed="false">
      <c r="A28" s="22" t="s">
        <v>2033</v>
      </c>
      <c r="B28" s="22" t="s">
        <v>2027</v>
      </c>
      <c r="C28" s="17" t="s">
        <v>2034</v>
      </c>
      <c r="D28" s="18" t="s">
        <v>101</v>
      </c>
      <c r="E28" s="17" t="s">
        <v>2035</v>
      </c>
      <c r="F28" s="18" t="n">
        <v>2</v>
      </c>
      <c r="G28" s="18" t="str">
        <f aca="false">IF(F28&gt;0,"Yes","NO")</f>
        <v>Yes</v>
      </c>
    </row>
    <row r="29" customFormat="false" ht="15" hidden="false" customHeight="false" outlineLevel="0" collapsed="false">
      <c r="A29" s="21" t="s">
        <v>29</v>
      </c>
      <c r="B29" s="21" t="s">
        <v>2027</v>
      </c>
      <c r="C29" s="11" t="s">
        <v>2036</v>
      </c>
      <c r="D29" s="15" t="s">
        <v>101</v>
      </c>
      <c r="E29" s="11" t="s">
        <v>1106</v>
      </c>
      <c r="F29" s="15" t="n">
        <v>1</v>
      </c>
      <c r="G29" s="15" t="str">
        <f aca="false">IF(F29&gt;0,"Yes","NO")</f>
        <v>Yes</v>
      </c>
    </row>
    <row r="30" customFormat="false" ht="15" hidden="false" customHeight="false" outlineLevel="0" collapsed="false">
      <c r="A30" s="22" t="s">
        <v>2037</v>
      </c>
      <c r="B30" s="22" t="s">
        <v>2027</v>
      </c>
      <c r="C30" s="17" t="s">
        <v>2038</v>
      </c>
      <c r="D30" s="18" t="s">
        <v>211</v>
      </c>
      <c r="E30" s="17" t="s">
        <v>1088</v>
      </c>
      <c r="F30" s="18" t="n">
        <v>1</v>
      </c>
      <c r="G30" s="18" t="str">
        <f aca="false">IF(F30&gt;0,"Yes","NO")</f>
        <v>Yes</v>
      </c>
    </row>
    <row r="31" customFormat="false" ht="15" hidden="false" customHeight="false" outlineLevel="0" collapsed="false">
      <c r="A31" s="21" t="s">
        <v>2039</v>
      </c>
      <c r="B31" s="21" t="s">
        <v>534</v>
      </c>
      <c r="C31" s="11" t="s">
        <v>535</v>
      </c>
      <c r="D31" s="15" t="s">
        <v>101</v>
      </c>
      <c r="E31" s="11" t="s">
        <v>532</v>
      </c>
      <c r="F31" s="15" t="n">
        <v>1</v>
      </c>
      <c r="G31" s="15" t="str">
        <f aca="false">IF(F31&gt;0,"Yes","NO")</f>
        <v>Yes</v>
      </c>
    </row>
    <row r="32" customFormat="false" ht="15" hidden="false" customHeight="false" outlineLevel="0" collapsed="false">
      <c r="A32" s="22" t="s">
        <v>543</v>
      </c>
      <c r="B32" s="22" t="s">
        <v>534</v>
      </c>
      <c r="C32" s="17" t="s">
        <v>541</v>
      </c>
      <c r="D32" s="18" t="s">
        <v>101</v>
      </c>
      <c r="E32" s="17" t="s">
        <v>540</v>
      </c>
      <c r="F32" s="18" t="n">
        <v>1</v>
      </c>
      <c r="G32" s="18" t="str">
        <f aca="false">IF(F32&gt;0,"Yes","NO")</f>
        <v>Yes</v>
      </c>
    </row>
    <row r="33" customFormat="false" ht="15" hidden="false" customHeight="false" outlineLevel="0" collapsed="false">
      <c r="A33" s="21" t="s">
        <v>2040</v>
      </c>
      <c r="B33" s="21" t="s">
        <v>534</v>
      </c>
      <c r="C33" s="11" t="s">
        <v>2041</v>
      </c>
      <c r="D33" s="15" t="s">
        <v>101</v>
      </c>
      <c r="E33" s="11" t="s">
        <v>546</v>
      </c>
      <c r="F33" s="15" t="n">
        <v>1</v>
      </c>
      <c r="G33" s="15" t="str">
        <f aca="false">IF(F33&gt;0,"Yes","NO")</f>
        <v>Yes</v>
      </c>
    </row>
    <row r="34" customFormat="false" ht="15" hidden="false" customHeight="false" outlineLevel="0" collapsed="false">
      <c r="A34" s="22" t="s">
        <v>554</v>
      </c>
      <c r="B34" s="22" t="s">
        <v>534</v>
      </c>
      <c r="C34" s="17" t="s">
        <v>552</v>
      </c>
      <c r="D34" s="18" t="s">
        <v>101</v>
      </c>
      <c r="E34" s="17" t="s">
        <v>2042</v>
      </c>
      <c r="F34" s="18" t="n">
        <v>2</v>
      </c>
      <c r="G34" s="18" t="str">
        <f aca="false">IF(F34&gt;0,"Yes","NO")</f>
        <v>Yes</v>
      </c>
    </row>
    <row r="35" customFormat="false" ht="15" hidden="false" customHeight="false" outlineLevel="0" collapsed="false">
      <c r="A35" s="21" t="s">
        <v>560</v>
      </c>
      <c r="B35" s="21" t="s">
        <v>534</v>
      </c>
      <c r="C35" s="11" t="s">
        <v>558</v>
      </c>
      <c r="D35" s="15" t="s">
        <v>101</v>
      </c>
      <c r="E35" s="11" t="s">
        <v>557</v>
      </c>
      <c r="F35" s="15" t="n">
        <v>1</v>
      </c>
      <c r="G35" s="15" t="str">
        <f aca="false">IF(F35&gt;0,"Yes","NO")</f>
        <v>Yes</v>
      </c>
    </row>
    <row r="36" customFormat="false" ht="15" hidden="false" customHeight="false" outlineLevel="0" collapsed="false">
      <c r="A36" s="22" t="s">
        <v>565</v>
      </c>
      <c r="B36" s="22" t="s">
        <v>534</v>
      </c>
      <c r="C36" s="17" t="s">
        <v>563</v>
      </c>
      <c r="D36" s="18" t="s">
        <v>101</v>
      </c>
      <c r="E36" s="17" t="s">
        <v>2043</v>
      </c>
      <c r="F36" s="18" t="n">
        <v>2</v>
      </c>
      <c r="G36" s="18" t="str">
        <f aca="false">IF(F36&gt;0,"Yes","NO")</f>
        <v>Yes</v>
      </c>
    </row>
    <row r="37" customFormat="false" ht="15" hidden="false" customHeight="false" outlineLevel="0" collapsed="false">
      <c r="A37" s="21" t="s">
        <v>570</v>
      </c>
      <c r="B37" s="21" t="s">
        <v>534</v>
      </c>
      <c r="C37" s="11" t="s">
        <v>568</v>
      </c>
      <c r="D37" s="15" t="s">
        <v>211</v>
      </c>
      <c r="E37" s="11" t="s">
        <v>567</v>
      </c>
      <c r="F37" s="15" t="n">
        <v>1</v>
      </c>
      <c r="G37" s="15" t="str">
        <f aca="false">IF(F37&gt;0,"Yes","NO")</f>
        <v>Yes</v>
      </c>
    </row>
    <row r="38" customFormat="false" ht="15" hidden="false" customHeight="false" outlineLevel="0" collapsed="false">
      <c r="A38" s="22" t="s">
        <v>575</v>
      </c>
      <c r="B38" s="22" t="s">
        <v>534</v>
      </c>
      <c r="C38" s="17" t="s">
        <v>573</v>
      </c>
      <c r="D38" s="18" t="s">
        <v>211</v>
      </c>
      <c r="E38" s="17" t="s">
        <v>572</v>
      </c>
      <c r="F38" s="18" t="n">
        <v>1</v>
      </c>
      <c r="G38" s="18" t="str">
        <f aca="false">IF(F38&gt;0,"Yes","NO")</f>
        <v>Yes</v>
      </c>
    </row>
    <row r="39" customFormat="false" ht="15" hidden="false" customHeight="false" outlineLevel="0" collapsed="false">
      <c r="A39" s="21" t="s">
        <v>2044</v>
      </c>
      <c r="B39" s="21" t="s">
        <v>534</v>
      </c>
      <c r="C39" s="11" t="s">
        <v>578</v>
      </c>
      <c r="D39" s="15" t="s">
        <v>460</v>
      </c>
      <c r="E39" s="11" t="s">
        <v>2032</v>
      </c>
      <c r="F39" s="15" t="n">
        <v>2</v>
      </c>
      <c r="G39" s="15" t="str">
        <f aca="false">IF(F39&gt;0,"Yes","NO")</f>
        <v>Yes</v>
      </c>
    </row>
    <row r="40" customFormat="false" ht="15" hidden="false" customHeight="false" outlineLevel="0" collapsed="false">
      <c r="A40" s="22" t="s">
        <v>2045</v>
      </c>
      <c r="B40" s="22" t="s">
        <v>1402</v>
      </c>
      <c r="C40" s="17" t="s">
        <v>2046</v>
      </c>
      <c r="D40" s="18" t="s">
        <v>101</v>
      </c>
      <c r="E40" s="17" t="s">
        <v>439</v>
      </c>
      <c r="F40" s="18" t="n">
        <v>1</v>
      </c>
      <c r="G40" s="18" t="str">
        <f aca="false">IF(F40&gt;0,"Yes","NO")</f>
        <v>Yes</v>
      </c>
    </row>
    <row r="41" customFormat="false" ht="15" hidden="false" customHeight="false" outlineLevel="0" collapsed="false">
      <c r="A41" s="21" t="s">
        <v>2047</v>
      </c>
      <c r="B41" s="21" t="s">
        <v>1402</v>
      </c>
      <c r="C41" s="11" t="s">
        <v>2048</v>
      </c>
      <c r="D41" s="15" t="s">
        <v>101</v>
      </c>
      <c r="E41" s="11" t="s">
        <v>2049</v>
      </c>
      <c r="F41" s="15" t="n">
        <v>3</v>
      </c>
      <c r="G41" s="15" t="str">
        <f aca="false">IF(F41&gt;0,"Yes","NO")</f>
        <v>Yes</v>
      </c>
    </row>
    <row r="42" customFormat="false" ht="23.85" hidden="false" customHeight="false" outlineLevel="0" collapsed="false">
      <c r="A42" s="22" t="s">
        <v>2050</v>
      </c>
      <c r="B42" s="22" t="s">
        <v>1402</v>
      </c>
      <c r="C42" s="17" t="s">
        <v>2051</v>
      </c>
      <c r="D42" s="18" t="s">
        <v>101</v>
      </c>
      <c r="E42" s="17" t="s">
        <v>2052</v>
      </c>
      <c r="F42" s="18" t="n">
        <v>5</v>
      </c>
      <c r="G42" s="18" t="str">
        <f aca="false">IF(F42&gt;0,"Yes","NO")</f>
        <v>Yes</v>
      </c>
    </row>
    <row r="43" customFormat="false" ht="15" hidden="false" customHeight="false" outlineLevel="0" collapsed="false">
      <c r="A43" s="21" t="s">
        <v>2053</v>
      </c>
      <c r="B43" s="21" t="s">
        <v>1402</v>
      </c>
      <c r="C43" s="11" t="s">
        <v>2054</v>
      </c>
      <c r="D43" s="15" t="s">
        <v>101</v>
      </c>
      <c r="E43" s="11" t="s">
        <v>2055</v>
      </c>
      <c r="F43" s="15" t="n">
        <v>4</v>
      </c>
      <c r="G43" s="15" t="str">
        <f aca="false">IF(F43&gt;0,"Yes","NO")</f>
        <v>Yes</v>
      </c>
    </row>
    <row r="44" customFormat="false" ht="15" hidden="false" customHeight="false" outlineLevel="0" collapsed="false">
      <c r="A44" s="22" t="s">
        <v>2056</v>
      </c>
      <c r="B44" s="22" t="s">
        <v>1402</v>
      </c>
      <c r="C44" s="17" t="s">
        <v>2057</v>
      </c>
      <c r="D44" s="18" t="s">
        <v>101</v>
      </c>
      <c r="E44" s="17" t="s">
        <v>2058</v>
      </c>
      <c r="F44" s="18" t="n">
        <v>2</v>
      </c>
      <c r="G44" s="18" t="str">
        <f aca="false">IF(F44&gt;0,"Yes","NO")</f>
        <v>Yes</v>
      </c>
    </row>
    <row r="45" customFormat="false" ht="15" hidden="false" customHeight="false" outlineLevel="0" collapsed="false">
      <c r="A45" s="21" t="s">
        <v>1458</v>
      </c>
      <c r="B45" s="21" t="s">
        <v>1402</v>
      </c>
      <c r="C45" s="11" t="s">
        <v>2059</v>
      </c>
      <c r="D45" s="15" t="s">
        <v>101</v>
      </c>
      <c r="E45" s="11" t="s">
        <v>1455</v>
      </c>
      <c r="F45" s="15" t="n">
        <v>1</v>
      </c>
      <c r="G45" s="15" t="str">
        <f aca="false">IF(F45&gt;0,"Yes","NO")</f>
        <v>Yes</v>
      </c>
    </row>
    <row r="46" customFormat="false" ht="15" hidden="false" customHeight="false" outlineLevel="0" collapsed="false">
      <c r="A46" s="22" t="s">
        <v>1143</v>
      </c>
      <c r="B46" s="22" t="s">
        <v>1402</v>
      </c>
      <c r="C46" s="17" t="s">
        <v>2060</v>
      </c>
      <c r="D46" s="18" t="s">
        <v>101</v>
      </c>
      <c r="E46" s="17" t="s">
        <v>2061</v>
      </c>
      <c r="F46" s="18" t="n">
        <v>3</v>
      </c>
      <c r="G46" s="18" t="str">
        <f aca="false">IF(F46&gt;0,"Yes","NO")</f>
        <v>Yes</v>
      </c>
    </row>
    <row r="47" customFormat="false" ht="15" hidden="false" customHeight="false" outlineLevel="0" collapsed="false">
      <c r="A47" s="21" t="s">
        <v>2062</v>
      </c>
      <c r="B47" s="21" t="s">
        <v>1402</v>
      </c>
      <c r="C47" s="11" t="s">
        <v>1468</v>
      </c>
      <c r="D47" s="15" t="s">
        <v>101</v>
      </c>
      <c r="E47" s="11" t="s">
        <v>2063</v>
      </c>
      <c r="F47" s="15" t="n">
        <v>3</v>
      </c>
      <c r="G47" s="15" t="str">
        <f aca="false">IF(F47&gt;0,"Yes","NO")</f>
        <v>Yes</v>
      </c>
    </row>
    <row r="48" customFormat="false" ht="15" hidden="false" customHeight="false" outlineLevel="0" collapsed="false">
      <c r="A48" s="22" t="s">
        <v>1476</v>
      </c>
      <c r="B48" s="22" t="s">
        <v>1402</v>
      </c>
      <c r="C48" s="17" t="s">
        <v>2064</v>
      </c>
      <c r="D48" s="18" t="s">
        <v>211</v>
      </c>
      <c r="E48" s="17" t="s">
        <v>1473</v>
      </c>
      <c r="F48" s="18" t="n">
        <v>1</v>
      </c>
      <c r="G48" s="18" t="str">
        <f aca="false">IF(F48&gt;0,"Yes","NO")</f>
        <v>Yes</v>
      </c>
    </row>
    <row r="49" customFormat="false" ht="15" hidden="false" customHeight="false" outlineLevel="0" collapsed="false">
      <c r="A49" s="21" t="s">
        <v>754</v>
      </c>
      <c r="B49" s="21" t="s">
        <v>2065</v>
      </c>
      <c r="C49" s="11" t="s">
        <v>2066</v>
      </c>
      <c r="D49" s="15" t="s">
        <v>101</v>
      </c>
      <c r="E49" s="11" t="s">
        <v>2067</v>
      </c>
      <c r="F49" s="15" t="n">
        <v>4</v>
      </c>
      <c r="G49" s="15" t="str">
        <f aca="false">IF(F49&gt;0,"Yes","NO")</f>
        <v>Yes</v>
      </c>
    </row>
    <row r="50" customFormat="false" ht="15" hidden="false" customHeight="false" outlineLevel="0" collapsed="false">
      <c r="A50" s="22" t="s">
        <v>771</v>
      </c>
      <c r="B50" s="22" t="s">
        <v>2065</v>
      </c>
      <c r="C50" s="17" t="s">
        <v>2068</v>
      </c>
      <c r="D50" s="18" t="s">
        <v>101</v>
      </c>
      <c r="E50" s="17" t="s">
        <v>768</v>
      </c>
      <c r="F50" s="18" t="n">
        <v>1</v>
      </c>
      <c r="G50" s="18" t="str">
        <f aca="false">IF(F50&gt;0,"Yes","NO")</f>
        <v>Yes</v>
      </c>
    </row>
    <row r="51" customFormat="false" ht="15" hidden="false" customHeight="false" outlineLevel="0" collapsed="false">
      <c r="A51" s="21" t="s">
        <v>777</v>
      </c>
      <c r="B51" s="21" t="s">
        <v>2065</v>
      </c>
      <c r="C51" s="11" t="s">
        <v>2069</v>
      </c>
      <c r="D51" s="15" t="s">
        <v>101</v>
      </c>
      <c r="E51" s="11" t="s">
        <v>774</v>
      </c>
      <c r="F51" s="15" t="n">
        <v>1</v>
      </c>
      <c r="G51" s="15" t="str">
        <f aca="false">IF(F51&gt;0,"Yes","NO")</f>
        <v>Yes</v>
      </c>
    </row>
    <row r="52" customFormat="false" ht="15" hidden="false" customHeight="false" outlineLevel="0" collapsed="false">
      <c r="A52" s="22" t="s">
        <v>2070</v>
      </c>
      <c r="B52" s="22" t="s">
        <v>2065</v>
      </c>
      <c r="C52" s="17" t="s">
        <v>2071</v>
      </c>
      <c r="D52" s="18" t="s">
        <v>101</v>
      </c>
      <c r="E52" s="17" t="s">
        <v>2072</v>
      </c>
      <c r="F52" s="18" t="n">
        <v>4</v>
      </c>
      <c r="G52" s="18" t="str">
        <f aca="false">IF(F52&gt;0,"Yes","NO")</f>
        <v>Yes</v>
      </c>
    </row>
    <row r="53" customFormat="false" ht="15" hidden="false" customHeight="false" outlineLevel="0" collapsed="false">
      <c r="A53" s="21" t="s">
        <v>2073</v>
      </c>
      <c r="B53" s="21" t="s">
        <v>2065</v>
      </c>
      <c r="C53" s="11" t="s">
        <v>2071</v>
      </c>
      <c r="D53" s="15" t="s">
        <v>101</v>
      </c>
      <c r="E53" s="11" t="s">
        <v>2074</v>
      </c>
      <c r="F53" s="15" t="n">
        <v>3</v>
      </c>
      <c r="G53" s="15" t="str">
        <f aca="false">IF(F53&gt;0,"Yes","NO")</f>
        <v>Yes</v>
      </c>
    </row>
    <row r="54" customFormat="false" ht="23.85" hidden="false" customHeight="false" outlineLevel="0" collapsed="false">
      <c r="A54" s="22" t="s">
        <v>794</v>
      </c>
      <c r="B54" s="22" t="s">
        <v>2065</v>
      </c>
      <c r="C54" s="17" t="s">
        <v>2075</v>
      </c>
      <c r="D54" s="18" t="s">
        <v>460</v>
      </c>
      <c r="E54" s="17" t="s">
        <v>791</v>
      </c>
      <c r="F54" s="18" t="n">
        <v>1</v>
      </c>
      <c r="G54" s="18" t="str">
        <f aca="false">IF(F54&gt;0,"Yes","NO")</f>
        <v>Yes</v>
      </c>
    </row>
    <row r="55" customFormat="false" ht="23.85" hidden="false" customHeight="false" outlineLevel="0" collapsed="false">
      <c r="A55" s="21" t="s">
        <v>799</v>
      </c>
      <c r="B55" s="21" t="s">
        <v>2076</v>
      </c>
      <c r="C55" s="11" t="s">
        <v>2077</v>
      </c>
      <c r="D55" s="15" t="s">
        <v>101</v>
      </c>
      <c r="E55" s="11" t="s">
        <v>2078</v>
      </c>
      <c r="F55" s="15" t="n">
        <v>6</v>
      </c>
      <c r="G55" s="15" t="str">
        <f aca="false">IF(F55&gt;0,"Yes","NO")</f>
        <v>Yes</v>
      </c>
    </row>
    <row r="56" customFormat="false" ht="15" hidden="false" customHeight="false" outlineLevel="0" collapsed="false">
      <c r="A56" s="22" t="s">
        <v>685</v>
      </c>
      <c r="B56" s="22" t="s">
        <v>2076</v>
      </c>
      <c r="C56" s="17" t="s">
        <v>688</v>
      </c>
      <c r="D56" s="18" t="s">
        <v>101</v>
      </c>
      <c r="E56" s="17" t="s">
        <v>2079</v>
      </c>
      <c r="F56" s="18" t="n">
        <v>3</v>
      </c>
      <c r="G56" s="18" t="str">
        <f aca="false">IF(F56&gt;0,"Yes","NO")</f>
        <v>Yes</v>
      </c>
    </row>
    <row r="57" customFormat="false" ht="15" hidden="false" customHeight="false" outlineLevel="0" collapsed="false">
      <c r="A57" s="21" t="s">
        <v>2080</v>
      </c>
      <c r="B57" s="21" t="s">
        <v>2076</v>
      </c>
      <c r="C57" s="11" t="s">
        <v>807</v>
      </c>
      <c r="D57" s="15" t="s">
        <v>211</v>
      </c>
      <c r="E57" s="11" t="s">
        <v>806</v>
      </c>
      <c r="F57" s="15" t="n">
        <v>1</v>
      </c>
      <c r="G57" s="15" t="str">
        <f aca="false">IF(F57&gt;0,"Yes","NO")</f>
        <v>Yes</v>
      </c>
    </row>
    <row r="58" customFormat="false" ht="15" hidden="false" customHeight="false" outlineLevel="0" collapsed="false">
      <c r="A58" s="22" t="s">
        <v>2081</v>
      </c>
      <c r="B58" s="22" t="s">
        <v>2076</v>
      </c>
      <c r="C58" s="17" t="s">
        <v>2077</v>
      </c>
      <c r="D58" s="18" t="s">
        <v>101</v>
      </c>
      <c r="E58" s="17" t="s">
        <v>2082</v>
      </c>
      <c r="F58" s="18" t="n">
        <v>2</v>
      </c>
      <c r="G58" s="18" t="str">
        <f aca="false">IF(F58&gt;0,"Yes","NO")</f>
        <v>Yes</v>
      </c>
    </row>
    <row r="59" customFormat="false" ht="15" hidden="false" customHeight="false" outlineLevel="0" collapsed="false">
      <c r="A59" s="21" t="s">
        <v>656</v>
      </c>
      <c r="B59" s="21" t="s">
        <v>374</v>
      </c>
      <c r="C59" s="11" t="s">
        <v>2083</v>
      </c>
      <c r="D59" s="15" t="s">
        <v>101</v>
      </c>
      <c r="E59" s="11" t="s">
        <v>651</v>
      </c>
      <c r="F59" s="15" t="n">
        <v>1</v>
      </c>
      <c r="G59" s="15" t="str">
        <f aca="false">IF(F59&gt;0,"Yes","NO")</f>
        <v>Yes</v>
      </c>
    </row>
    <row r="60" customFormat="false" ht="15" hidden="false" customHeight="false" outlineLevel="0" collapsed="false">
      <c r="A60" s="22" t="s">
        <v>2084</v>
      </c>
      <c r="B60" s="22" t="s">
        <v>374</v>
      </c>
      <c r="C60" s="17" t="s">
        <v>2085</v>
      </c>
      <c r="D60" s="18" t="s">
        <v>101</v>
      </c>
      <c r="E60" s="17" t="s">
        <v>669</v>
      </c>
      <c r="F60" s="18" t="n">
        <v>1</v>
      </c>
      <c r="G60" s="18" t="str">
        <f aca="false">IF(F60&gt;0,"Yes","NO")</f>
        <v>Yes</v>
      </c>
    </row>
    <row r="61" customFormat="false" ht="15" hidden="false" customHeight="false" outlineLevel="0" collapsed="false">
      <c r="A61" s="21" t="s">
        <v>2086</v>
      </c>
      <c r="B61" s="21" t="s">
        <v>374</v>
      </c>
      <c r="C61" s="11" t="s">
        <v>2087</v>
      </c>
      <c r="D61" s="15" t="s">
        <v>101</v>
      </c>
      <c r="E61" s="11" t="s">
        <v>2088</v>
      </c>
      <c r="F61" s="15" t="n">
        <v>3</v>
      </c>
      <c r="G61" s="15" t="str">
        <f aca="false">IF(F61&gt;0,"Yes","NO")</f>
        <v>Yes</v>
      </c>
    </row>
    <row r="62" customFormat="false" ht="15" hidden="false" customHeight="false" outlineLevel="0" collapsed="false">
      <c r="A62" s="22" t="s">
        <v>662</v>
      </c>
      <c r="B62" s="22" t="s">
        <v>374</v>
      </c>
      <c r="C62" s="17" t="s">
        <v>2089</v>
      </c>
      <c r="D62" s="18" t="s">
        <v>101</v>
      </c>
      <c r="E62" s="17" t="s">
        <v>659</v>
      </c>
      <c r="F62" s="18" t="n">
        <v>1</v>
      </c>
      <c r="G62" s="18" t="str">
        <f aca="false">IF(F62&gt;0,"Yes","NO")</f>
        <v>Yes</v>
      </c>
    </row>
    <row r="63" customFormat="false" ht="15" hidden="false" customHeight="false" outlineLevel="0" collapsed="false">
      <c r="A63" s="21" t="s">
        <v>2090</v>
      </c>
      <c r="B63" s="21" t="s">
        <v>374</v>
      </c>
      <c r="C63" s="11" t="s">
        <v>2091</v>
      </c>
      <c r="D63" s="15" t="s">
        <v>101</v>
      </c>
      <c r="E63" s="11" t="s">
        <v>2092</v>
      </c>
      <c r="F63" s="15" t="n">
        <v>3</v>
      </c>
      <c r="G63" s="15" t="str">
        <f aca="false">IF(F63&gt;0,"Yes","NO")</f>
        <v>Yes</v>
      </c>
    </row>
    <row r="64" customFormat="false" ht="15" hidden="false" customHeight="false" outlineLevel="0" collapsed="false">
      <c r="A64" s="22" t="s">
        <v>748</v>
      </c>
      <c r="B64" s="22" t="s">
        <v>374</v>
      </c>
      <c r="C64" s="17" t="s">
        <v>2093</v>
      </c>
      <c r="D64" s="18" t="s">
        <v>101</v>
      </c>
      <c r="E64" s="17" t="s">
        <v>745</v>
      </c>
      <c r="F64" s="18" t="n">
        <v>1</v>
      </c>
      <c r="G64" s="18" t="str">
        <f aca="false">IF(F64&gt;0,"Yes","NO")</f>
        <v>Yes</v>
      </c>
    </row>
    <row r="65" customFormat="false" ht="15" hidden="false" customHeight="false" outlineLevel="0" collapsed="false">
      <c r="A65" s="21" t="s">
        <v>2094</v>
      </c>
      <c r="B65" s="21" t="s">
        <v>374</v>
      </c>
      <c r="C65" s="11" t="s">
        <v>735</v>
      </c>
      <c r="D65" s="15" t="s">
        <v>101</v>
      </c>
      <c r="E65" s="11" t="s">
        <v>734</v>
      </c>
      <c r="F65" s="15" t="n">
        <v>1</v>
      </c>
      <c r="G65" s="15" t="str">
        <f aca="false">IF(F65&gt;0,"Yes","NO")</f>
        <v>Yes</v>
      </c>
    </row>
    <row r="66" customFormat="false" ht="15" hidden="false" customHeight="false" outlineLevel="0" collapsed="false">
      <c r="A66" s="22" t="s">
        <v>2095</v>
      </c>
      <c r="B66" s="22" t="s">
        <v>2096</v>
      </c>
      <c r="C66" s="17" t="s">
        <v>2097</v>
      </c>
      <c r="D66" s="18" t="s">
        <v>101</v>
      </c>
      <c r="E66" s="17" t="s">
        <v>2098</v>
      </c>
      <c r="F66" s="18" t="n">
        <v>3</v>
      </c>
      <c r="G66" s="18" t="str">
        <f aca="false">IF(F66&gt;0,"Yes","NO")</f>
        <v>Yes</v>
      </c>
    </row>
    <row r="67" customFormat="false" ht="15" hidden="false" customHeight="false" outlineLevel="0" collapsed="false">
      <c r="A67" s="21" t="s">
        <v>2099</v>
      </c>
      <c r="B67" s="21" t="s">
        <v>2096</v>
      </c>
      <c r="C67" s="11" t="s">
        <v>2100</v>
      </c>
      <c r="D67" s="15" t="s">
        <v>101</v>
      </c>
      <c r="E67" s="11" t="s">
        <v>2101</v>
      </c>
      <c r="F67" s="15" t="n">
        <v>2</v>
      </c>
      <c r="G67" s="15" t="str">
        <f aca="false">IF(F67&gt;0,"Yes","NO")</f>
        <v>Yes</v>
      </c>
    </row>
    <row r="68" customFormat="false" ht="15" hidden="false" customHeight="false" outlineLevel="0" collapsed="false">
      <c r="A68" s="22" t="s">
        <v>2102</v>
      </c>
      <c r="B68" s="22" t="s">
        <v>2096</v>
      </c>
      <c r="C68" s="17" t="s">
        <v>2103</v>
      </c>
      <c r="D68" s="18" t="s">
        <v>101</v>
      </c>
      <c r="E68" s="17" t="s">
        <v>1461</v>
      </c>
      <c r="F68" s="18" t="n">
        <v>1</v>
      </c>
      <c r="G68" s="18" t="str">
        <f aca="false">IF(F68&gt;0,"Yes","NO")</f>
        <v>Yes</v>
      </c>
    </row>
    <row r="69" customFormat="false" ht="15" hidden="false" customHeight="false" outlineLevel="0" collapsed="false">
      <c r="A69" s="21" t="s">
        <v>2104</v>
      </c>
      <c r="B69" s="21" t="s">
        <v>2096</v>
      </c>
      <c r="C69" s="11" t="s">
        <v>2105</v>
      </c>
      <c r="D69" s="15" t="s">
        <v>101</v>
      </c>
      <c r="E69" s="11" t="s">
        <v>1527</v>
      </c>
      <c r="F69" s="15" t="n">
        <v>1</v>
      </c>
      <c r="G69" s="15" t="str">
        <f aca="false">IF(F69&gt;0,"Yes","NO")</f>
        <v>Yes</v>
      </c>
    </row>
    <row r="70" customFormat="false" ht="15" hidden="false" customHeight="false" outlineLevel="0" collapsed="false">
      <c r="A70" s="22" t="s">
        <v>1448</v>
      </c>
      <c r="B70" s="22" t="s">
        <v>2096</v>
      </c>
      <c r="C70" s="17" t="s">
        <v>2106</v>
      </c>
      <c r="D70" s="18" t="s">
        <v>101</v>
      </c>
      <c r="E70" s="17" t="s">
        <v>2107</v>
      </c>
      <c r="F70" s="18" t="n">
        <v>3</v>
      </c>
      <c r="G70" s="18" t="str">
        <f aca="false">IF(F70&gt;0,"Yes","NO")</f>
        <v>Yes</v>
      </c>
    </row>
    <row r="71" customFormat="false" ht="15" hidden="false" customHeight="false" outlineLevel="0" collapsed="false">
      <c r="A71" s="21" t="s">
        <v>2108</v>
      </c>
      <c r="B71" s="21" t="s">
        <v>2096</v>
      </c>
      <c r="C71" s="11" t="s">
        <v>1480</v>
      </c>
      <c r="D71" s="15" t="s">
        <v>101</v>
      </c>
      <c r="E71" s="11" t="s">
        <v>2109</v>
      </c>
      <c r="F71" s="15" t="n">
        <v>3</v>
      </c>
      <c r="G71" s="15" t="str">
        <f aca="false">IF(F71&gt;0,"Yes","NO")</f>
        <v>Yes</v>
      </c>
    </row>
    <row r="72" customFormat="false" ht="15" hidden="false" customHeight="false" outlineLevel="0" collapsed="false">
      <c r="A72" s="22" t="s">
        <v>2110</v>
      </c>
      <c r="B72" s="22" t="s">
        <v>2111</v>
      </c>
      <c r="C72" s="17" t="s">
        <v>2112</v>
      </c>
      <c r="D72" s="18" t="s">
        <v>211</v>
      </c>
      <c r="E72" s="17" t="s">
        <v>858</v>
      </c>
      <c r="F72" s="18" t="n">
        <v>1</v>
      </c>
      <c r="G72" s="18" t="str">
        <f aca="false">IF(F72&gt;0,"Yes","NO")</f>
        <v>Yes</v>
      </c>
    </row>
    <row r="73" customFormat="false" ht="15" hidden="false" customHeight="false" outlineLevel="0" collapsed="false">
      <c r="A73" s="21" t="s">
        <v>2113</v>
      </c>
      <c r="B73" s="21" t="s">
        <v>2111</v>
      </c>
      <c r="C73" s="11" t="s">
        <v>2114</v>
      </c>
      <c r="D73" s="15" t="s">
        <v>211</v>
      </c>
      <c r="E73" s="11" t="s">
        <v>858</v>
      </c>
      <c r="F73" s="15" t="n">
        <v>1</v>
      </c>
      <c r="G73" s="15" t="str">
        <f aca="false">IF(F73&gt;0,"Yes","NO")</f>
        <v>Yes</v>
      </c>
    </row>
    <row r="74" customFormat="false" ht="15" hidden="false" customHeight="false" outlineLevel="0" collapsed="false">
      <c r="A74" s="22" t="s">
        <v>2115</v>
      </c>
      <c r="B74" s="22" t="s">
        <v>2111</v>
      </c>
      <c r="C74" s="17" t="s">
        <v>2116</v>
      </c>
      <c r="D74" s="18" t="s">
        <v>211</v>
      </c>
      <c r="E74" s="17" t="s">
        <v>858</v>
      </c>
      <c r="F74" s="18" t="n">
        <v>1</v>
      </c>
      <c r="G74" s="18" t="str">
        <f aca="false">IF(F74&gt;0,"Yes","NO")</f>
        <v>Yes</v>
      </c>
    </row>
    <row r="75" customFormat="false" ht="15" hidden="false" customHeight="false" outlineLevel="0" collapsed="false">
      <c r="A75" s="21" t="s">
        <v>500</v>
      </c>
      <c r="B75" s="21" t="s">
        <v>2117</v>
      </c>
      <c r="C75" s="11" t="s">
        <v>2118</v>
      </c>
      <c r="D75" s="15" t="s">
        <v>101</v>
      </c>
      <c r="E75" s="11" t="s">
        <v>2119</v>
      </c>
      <c r="F75" s="15" t="n">
        <v>2</v>
      </c>
      <c r="G75" s="15" t="str">
        <f aca="false">IF(F75&gt;0,"Yes","NO")</f>
        <v>Yes</v>
      </c>
    </row>
    <row r="76" customFormat="false" ht="15" hidden="false" customHeight="false" outlineLevel="0" collapsed="false">
      <c r="A76" s="22" t="s">
        <v>223</v>
      </c>
      <c r="B76" s="22" t="s">
        <v>2117</v>
      </c>
      <c r="C76" s="17" t="s">
        <v>2120</v>
      </c>
      <c r="D76" s="18" t="s">
        <v>101</v>
      </c>
      <c r="E76" s="17" t="s">
        <v>2121</v>
      </c>
      <c r="F76" s="18" t="n">
        <v>3</v>
      </c>
      <c r="G76" s="18" t="str">
        <f aca="false">IF(F76&gt;0,"Yes","NO")</f>
        <v>Yes</v>
      </c>
    </row>
    <row r="77" customFormat="false" ht="15" hidden="false" customHeight="false" outlineLevel="0" collapsed="false">
      <c r="A77" s="21" t="s">
        <v>2122</v>
      </c>
      <c r="B77" s="21" t="s">
        <v>2117</v>
      </c>
      <c r="C77" s="11" t="s">
        <v>2123</v>
      </c>
      <c r="D77" s="15" t="s">
        <v>101</v>
      </c>
      <c r="E77" s="11" t="s">
        <v>740</v>
      </c>
      <c r="F77" s="15" t="n">
        <v>1</v>
      </c>
      <c r="G77" s="15" t="str">
        <f aca="false">IF(F77&gt;0,"Yes","NO")</f>
        <v>Yes</v>
      </c>
    </row>
    <row r="78" customFormat="false" ht="15" hidden="false" customHeight="false" outlineLevel="0" collapsed="false">
      <c r="A78" s="22" t="s">
        <v>701</v>
      </c>
      <c r="B78" s="22" t="s">
        <v>2117</v>
      </c>
      <c r="C78" s="17" t="s">
        <v>2124</v>
      </c>
      <c r="D78" s="18" t="s">
        <v>101</v>
      </c>
      <c r="E78" s="17" t="s">
        <v>2125</v>
      </c>
      <c r="F78" s="18" t="n">
        <v>3</v>
      </c>
      <c r="G78" s="18" t="str">
        <f aca="false">IF(F78&gt;0,"Yes","NO")</f>
        <v>Yes</v>
      </c>
    </row>
    <row r="79" customFormat="false" ht="15" hidden="false" customHeight="false" outlineLevel="0" collapsed="false">
      <c r="A79" s="21" t="s">
        <v>721</v>
      </c>
      <c r="B79" s="21" t="s">
        <v>2117</v>
      </c>
      <c r="C79" s="11" t="s">
        <v>719</v>
      </c>
      <c r="D79" s="15" t="s">
        <v>101</v>
      </c>
      <c r="E79" s="11" t="s">
        <v>2126</v>
      </c>
      <c r="F79" s="15" t="n">
        <v>3</v>
      </c>
      <c r="G79" s="15" t="str">
        <f aca="false">IF(F79&gt;0,"Yes","NO")</f>
        <v>Yes</v>
      </c>
    </row>
    <row r="80" customFormat="false" ht="15" hidden="false" customHeight="false" outlineLevel="0" collapsed="false">
      <c r="A80" s="22" t="s">
        <v>2127</v>
      </c>
      <c r="B80" s="22" t="s">
        <v>2117</v>
      </c>
      <c r="C80" s="17" t="s">
        <v>2128</v>
      </c>
      <c r="D80" s="18" t="s">
        <v>101</v>
      </c>
      <c r="E80" s="17" t="s">
        <v>740</v>
      </c>
      <c r="F80" s="18" t="n">
        <v>1</v>
      </c>
      <c r="G80" s="18" t="str">
        <f aca="false">IF(F80&gt;0,"Yes","NO")</f>
        <v>Yes</v>
      </c>
    </row>
    <row r="81" customFormat="false" ht="15" hidden="false" customHeight="false" outlineLevel="0" collapsed="false">
      <c r="A81" s="21" t="s">
        <v>851</v>
      </c>
      <c r="B81" s="21" t="s">
        <v>2129</v>
      </c>
      <c r="C81" s="11" t="s">
        <v>2130</v>
      </c>
      <c r="D81" s="15" t="s">
        <v>211</v>
      </c>
      <c r="E81" s="11" t="s">
        <v>848</v>
      </c>
      <c r="F81" s="15" t="n">
        <v>1</v>
      </c>
      <c r="G81" s="15" t="str">
        <f aca="false">IF(F81&gt;0,"Yes","NO")</f>
        <v>Yes</v>
      </c>
    </row>
    <row r="82" customFormat="false" ht="15" hidden="false" customHeight="false" outlineLevel="0" collapsed="false">
      <c r="A82" s="22" t="s">
        <v>856</v>
      </c>
      <c r="B82" s="22" t="s">
        <v>2129</v>
      </c>
      <c r="C82" s="17" t="s">
        <v>2131</v>
      </c>
      <c r="D82" s="18" t="s">
        <v>211</v>
      </c>
      <c r="E82" s="17" t="s">
        <v>853</v>
      </c>
      <c r="F82" s="18" t="n">
        <v>1</v>
      </c>
      <c r="G82" s="18" t="str">
        <f aca="false">IF(F82&gt;0,"Yes","NO")</f>
        <v>Yes</v>
      </c>
    </row>
    <row r="83" customFormat="false" ht="15" hidden="false" customHeight="false" outlineLevel="0" collapsed="false">
      <c r="A83" s="21" t="s">
        <v>716</v>
      </c>
      <c r="B83" s="21" t="s">
        <v>2129</v>
      </c>
      <c r="C83" s="11" t="s">
        <v>2132</v>
      </c>
      <c r="D83" s="15" t="s">
        <v>101</v>
      </c>
      <c r="E83" s="11" t="s">
        <v>2133</v>
      </c>
      <c r="F83" s="15" t="n">
        <v>2</v>
      </c>
      <c r="G83" s="15" t="str">
        <f aca="false">IF(F83&gt;0,"Yes","NO")</f>
        <v>Yes</v>
      </c>
    </row>
    <row r="84" customFormat="false" ht="15" hidden="false" customHeight="false" outlineLevel="0" collapsed="false">
      <c r="A84" s="22" t="s">
        <v>872</v>
      </c>
      <c r="B84" s="22" t="s">
        <v>2134</v>
      </c>
      <c r="C84" s="17" t="s">
        <v>2135</v>
      </c>
      <c r="D84" s="18" t="s">
        <v>211</v>
      </c>
      <c r="E84" s="17" t="s">
        <v>869</v>
      </c>
      <c r="F84" s="18" t="n">
        <v>1</v>
      </c>
      <c r="G84" s="18" t="str">
        <f aca="false">IF(F84&gt;0,"Yes","NO")</f>
        <v>Yes</v>
      </c>
    </row>
    <row r="85" customFormat="false" ht="15" hidden="false" customHeight="false" outlineLevel="0" collapsed="false">
      <c r="A85" s="21" t="s">
        <v>2136</v>
      </c>
      <c r="B85" s="21" t="s">
        <v>2137</v>
      </c>
      <c r="C85" s="11" t="s">
        <v>2138</v>
      </c>
      <c r="D85" s="15" t="s">
        <v>101</v>
      </c>
      <c r="E85" s="11" t="s">
        <v>2139</v>
      </c>
      <c r="F85" s="15" t="n">
        <v>2</v>
      </c>
      <c r="G85" s="15" t="str">
        <f aca="false">IF(F85&gt;0,"Yes","NO")</f>
        <v>Yes</v>
      </c>
    </row>
    <row r="86" customFormat="false" ht="35.05" hidden="false" customHeight="false" outlineLevel="0" collapsed="false">
      <c r="A86" s="22" t="s">
        <v>129</v>
      </c>
      <c r="B86" s="22" t="s">
        <v>2140</v>
      </c>
      <c r="C86" s="17"/>
      <c r="D86" s="18" t="s">
        <v>101</v>
      </c>
      <c r="E86" s="17" t="s">
        <v>2141</v>
      </c>
      <c r="F86" s="18" t="n">
        <v>10</v>
      </c>
      <c r="G86" s="18" t="str">
        <f aca="false">IF(F86&gt;0,"Yes","NO")</f>
        <v>Yes</v>
      </c>
    </row>
    <row r="87" customFormat="false" ht="23.85" hidden="false" customHeight="false" outlineLevel="0" collapsed="false">
      <c r="A87" s="21" t="s">
        <v>1655</v>
      </c>
      <c r="B87" s="21" t="s">
        <v>2140</v>
      </c>
      <c r="C87" s="11" t="s">
        <v>2142</v>
      </c>
      <c r="D87" s="15" t="s">
        <v>101</v>
      </c>
      <c r="E87" s="11" t="s">
        <v>2143</v>
      </c>
      <c r="F87" s="15" t="n">
        <v>7</v>
      </c>
      <c r="G87" s="15" t="str">
        <f aca="false">IF(F87&gt;0,"Yes","NO")</f>
        <v>Yes</v>
      </c>
    </row>
    <row r="88" customFormat="false" ht="15" hidden="false" customHeight="false" outlineLevel="0" collapsed="false">
      <c r="A88" s="22" t="s">
        <v>19</v>
      </c>
      <c r="B88" s="22" t="s">
        <v>2140</v>
      </c>
      <c r="C88" s="17"/>
      <c r="D88" s="18" t="s">
        <v>101</v>
      </c>
      <c r="E88" s="17" t="s">
        <v>2144</v>
      </c>
      <c r="F88" s="18" t="n">
        <v>2</v>
      </c>
      <c r="G88" s="18" t="str">
        <f aca="false">IF(F88&gt;0,"Yes","NO")</f>
        <v>Yes</v>
      </c>
    </row>
    <row r="89" customFormat="false" ht="15" hidden="false" customHeight="false" outlineLevel="0" collapsed="false">
      <c r="A89" s="21" t="s">
        <v>2145</v>
      </c>
      <c r="B89" s="21" t="s">
        <v>2140</v>
      </c>
      <c r="C89" s="11" t="s">
        <v>2146</v>
      </c>
      <c r="D89" s="15" t="s">
        <v>101</v>
      </c>
      <c r="E89" s="11" t="s">
        <v>2147</v>
      </c>
      <c r="F89" s="15" t="n">
        <v>4</v>
      </c>
      <c r="G89" s="15" t="str">
        <f aca="false">IF(F89&gt;0,"Yes","NO")</f>
        <v>Yes</v>
      </c>
    </row>
    <row r="90" customFormat="false" ht="15" hidden="false" customHeight="false" outlineLevel="0" collapsed="false">
      <c r="A90" s="22" t="s">
        <v>2148</v>
      </c>
      <c r="B90" s="22" t="s">
        <v>2140</v>
      </c>
      <c r="C90" s="17" t="s">
        <v>2149</v>
      </c>
      <c r="D90" s="18" t="s">
        <v>101</v>
      </c>
      <c r="E90" s="17" t="s">
        <v>2049</v>
      </c>
      <c r="F90" s="18" t="n">
        <v>3</v>
      </c>
      <c r="G90" s="18" t="str">
        <f aca="false">IF(F90&gt;0,"Yes","NO")</f>
        <v>Yes</v>
      </c>
    </row>
    <row r="91" customFormat="false" ht="15" hidden="false" customHeight="false" outlineLevel="0" collapsed="false">
      <c r="A91" s="21" t="s">
        <v>1707</v>
      </c>
      <c r="B91" s="21" t="s">
        <v>2140</v>
      </c>
      <c r="C91" s="11" t="s">
        <v>2150</v>
      </c>
      <c r="D91" s="15" t="s">
        <v>101</v>
      </c>
      <c r="E91" s="11" t="s">
        <v>2151</v>
      </c>
      <c r="F91" s="15" t="n">
        <v>3</v>
      </c>
      <c r="G91" s="15" t="str">
        <f aca="false">IF(F91&gt;0,"Yes","NO")</f>
        <v>Yes</v>
      </c>
    </row>
    <row r="92" customFormat="false" ht="23.85" hidden="false" customHeight="false" outlineLevel="0" collapsed="false">
      <c r="A92" s="22" t="s">
        <v>205</v>
      </c>
      <c r="B92" s="22" t="s">
        <v>2140</v>
      </c>
      <c r="C92" s="17" t="s">
        <v>2152</v>
      </c>
      <c r="D92" s="18" t="s">
        <v>101</v>
      </c>
      <c r="E92" s="17" t="s">
        <v>2153</v>
      </c>
      <c r="F92" s="18" t="n">
        <v>8</v>
      </c>
      <c r="G92" s="18" t="str">
        <f aca="false">IF(F92&gt;0,"Yes","NO")</f>
        <v>Yes</v>
      </c>
    </row>
    <row r="93" customFormat="false" ht="15" hidden="false" customHeight="false" outlineLevel="0" collapsed="false">
      <c r="A93" s="21" t="s">
        <v>1957</v>
      </c>
      <c r="B93" s="21" t="s">
        <v>2140</v>
      </c>
      <c r="C93" s="11" t="s">
        <v>2154</v>
      </c>
      <c r="D93" s="15" t="s">
        <v>101</v>
      </c>
      <c r="E93" s="11" t="s">
        <v>2155</v>
      </c>
      <c r="F93" s="15" t="n">
        <v>3</v>
      </c>
      <c r="G93" s="15" t="str">
        <f aca="false">IF(F93&gt;0,"Yes","NO")</f>
        <v>Yes</v>
      </c>
    </row>
    <row r="94" customFormat="false" ht="15" hidden="false" customHeight="false" outlineLevel="0" collapsed="false">
      <c r="A94" s="22" t="s">
        <v>2156</v>
      </c>
      <c r="B94" s="22" t="s">
        <v>876</v>
      </c>
      <c r="C94" s="17" t="s">
        <v>888</v>
      </c>
      <c r="D94" s="18" t="s">
        <v>101</v>
      </c>
      <c r="E94" s="17" t="s">
        <v>887</v>
      </c>
      <c r="F94" s="18" t="n">
        <v>1</v>
      </c>
      <c r="G94" s="18" t="str">
        <f aca="false">IF(F94&gt;0,"Yes","NO")</f>
        <v>Yes</v>
      </c>
    </row>
    <row r="95" customFormat="false" ht="15" hidden="false" customHeight="false" outlineLevel="0" collapsed="false">
      <c r="A95" s="21" t="s">
        <v>2157</v>
      </c>
      <c r="B95" s="21" t="s">
        <v>2158</v>
      </c>
      <c r="C95" s="11" t="s">
        <v>2159</v>
      </c>
      <c r="D95" s="15" t="s">
        <v>101</v>
      </c>
      <c r="E95" s="11" t="s">
        <v>836</v>
      </c>
      <c r="F95" s="15" t="n">
        <v>1</v>
      </c>
      <c r="G95" s="15" t="str">
        <f aca="false">IF(F95&gt;0,"Yes","NO")</f>
        <v>Yes</v>
      </c>
    </row>
    <row r="96" customFormat="false" ht="15" hidden="false" customHeight="false" outlineLevel="0" collapsed="false">
      <c r="A96" s="22" t="s">
        <v>2160</v>
      </c>
      <c r="B96" s="22" t="s">
        <v>2158</v>
      </c>
      <c r="C96" s="17" t="s">
        <v>2161</v>
      </c>
      <c r="D96" s="18" t="s">
        <v>101</v>
      </c>
      <c r="E96" s="17" t="s">
        <v>836</v>
      </c>
      <c r="F96" s="18" t="n">
        <v>1</v>
      </c>
      <c r="G96" s="18" t="str">
        <f aca="false">IF(F96&gt;0,"Yes","NO")</f>
        <v>Yes</v>
      </c>
    </row>
    <row r="97" customFormat="false" ht="15" hidden="false" customHeight="false" outlineLevel="0" collapsed="false">
      <c r="A97" s="21" t="s">
        <v>2162</v>
      </c>
      <c r="B97" s="21" t="s">
        <v>2158</v>
      </c>
      <c r="C97" s="11" t="s">
        <v>2163</v>
      </c>
      <c r="D97" s="15" t="s">
        <v>211</v>
      </c>
      <c r="E97" s="11" t="s">
        <v>842</v>
      </c>
      <c r="F97" s="15" t="n">
        <v>1</v>
      </c>
      <c r="G97" s="15" t="str">
        <f aca="false">IF(F97&gt;0,"Yes","NO")</f>
        <v>Yes</v>
      </c>
    </row>
    <row r="98" customFormat="false" ht="15" hidden="false" customHeight="false" outlineLevel="0" collapsed="false">
      <c r="A98" s="22" t="s">
        <v>232</v>
      </c>
      <c r="B98" s="22" t="s">
        <v>233</v>
      </c>
      <c r="C98" s="17" t="s">
        <v>1353</v>
      </c>
      <c r="D98" s="18" t="s">
        <v>101</v>
      </c>
      <c r="E98" s="17" t="s">
        <v>2164</v>
      </c>
      <c r="F98" s="18" t="n">
        <v>4</v>
      </c>
      <c r="G98" s="18" t="str">
        <f aca="false">IF(F98&gt;0,"Yes","NO")</f>
        <v>Yes</v>
      </c>
    </row>
    <row r="99" customFormat="false" ht="15" hidden="false" customHeight="false" outlineLevel="0" collapsed="false">
      <c r="A99" s="21" t="s">
        <v>2165</v>
      </c>
      <c r="B99" s="21" t="s">
        <v>233</v>
      </c>
      <c r="C99" s="11" t="s">
        <v>1358</v>
      </c>
      <c r="D99" s="15" t="s">
        <v>101</v>
      </c>
      <c r="E99" s="11" t="s">
        <v>2139</v>
      </c>
      <c r="F99" s="15" t="n">
        <v>2</v>
      </c>
      <c r="G99" s="15" t="str">
        <f aca="false">IF(F99&gt;0,"Yes","NO")</f>
        <v>Yes</v>
      </c>
    </row>
    <row r="100" customFormat="false" ht="15" hidden="false" customHeight="false" outlineLevel="0" collapsed="false">
      <c r="A100" s="22" t="s">
        <v>2166</v>
      </c>
      <c r="B100" s="22" t="s">
        <v>233</v>
      </c>
      <c r="C100" s="17" t="s">
        <v>1380</v>
      </c>
      <c r="D100" s="18" t="s">
        <v>211</v>
      </c>
      <c r="E100" s="17" t="s">
        <v>1379</v>
      </c>
      <c r="F100" s="18" t="n">
        <v>1</v>
      </c>
      <c r="G100" s="18" t="str">
        <f aca="false">IF(F100&gt;0,"Yes","NO")</f>
        <v>Yes</v>
      </c>
    </row>
    <row r="101" customFormat="false" ht="15" hidden="false" customHeight="false" outlineLevel="0" collapsed="false">
      <c r="A101" s="21" t="s">
        <v>1365</v>
      </c>
      <c r="B101" s="21" t="s">
        <v>233</v>
      </c>
      <c r="C101" s="11" t="s">
        <v>1363</v>
      </c>
      <c r="D101" s="15" t="s">
        <v>101</v>
      </c>
      <c r="E101" s="11" t="s">
        <v>1362</v>
      </c>
      <c r="F101" s="15" t="n">
        <v>1</v>
      </c>
      <c r="G101" s="15" t="str">
        <f aca="false">IF(F101&gt;0,"Yes","NO")</f>
        <v>Yes</v>
      </c>
    </row>
    <row r="102" customFormat="false" ht="15" hidden="false" customHeight="false" outlineLevel="0" collapsed="false">
      <c r="A102" s="22" t="s">
        <v>1387</v>
      </c>
      <c r="B102" s="22" t="s">
        <v>233</v>
      </c>
      <c r="C102" s="17" t="s">
        <v>2167</v>
      </c>
      <c r="D102" s="18" t="s">
        <v>211</v>
      </c>
      <c r="E102" s="17" t="s">
        <v>2168</v>
      </c>
      <c r="F102" s="18" t="n">
        <v>2</v>
      </c>
      <c r="G102" s="18" t="str">
        <f aca="false">IF(F102&gt;0,"Yes","NO")</f>
        <v>Yes</v>
      </c>
    </row>
    <row r="103" customFormat="false" ht="15" hidden="false" customHeight="false" outlineLevel="0" collapsed="false">
      <c r="A103" s="21" t="s">
        <v>1035</v>
      </c>
      <c r="B103" s="21" t="s">
        <v>233</v>
      </c>
      <c r="C103" s="11" t="s">
        <v>2169</v>
      </c>
      <c r="D103" s="15" t="s">
        <v>101</v>
      </c>
      <c r="E103" s="11" t="s">
        <v>1032</v>
      </c>
      <c r="F103" s="15" t="n">
        <v>1</v>
      </c>
      <c r="G103" s="15" t="str">
        <f aca="false">IF(F103&gt;0,"Yes","NO")</f>
        <v>Yes</v>
      </c>
    </row>
    <row r="104" customFormat="false" ht="15" hidden="false" customHeight="false" outlineLevel="0" collapsed="false">
      <c r="A104" s="22" t="s">
        <v>2170</v>
      </c>
      <c r="B104" s="22" t="s">
        <v>233</v>
      </c>
      <c r="C104" s="17" t="s">
        <v>2171</v>
      </c>
      <c r="D104" s="18" t="s">
        <v>101</v>
      </c>
      <c r="E104" s="17" t="s">
        <v>2172</v>
      </c>
      <c r="F104" s="18" t="n">
        <v>2</v>
      </c>
      <c r="G104" s="18" t="str">
        <f aca="false">IF(F104&gt;0,"Yes","NO")</f>
        <v>Yes</v>
      </c>
    </row>
    <row r="105" customFormat="false" ht="15" hidden="false" customHeight="false" outlineLevel="0" collapsed="false">
      <c r="A105" s="21" t="s">
        <v>2173</v>
      </c>
      <c r="B105" s="21" t="s">
        <v>233</v>
      </c>
      <c r="C105" s="11" t="s">
        <v>1374</v>
      </c>
      <c r="D105" s="15" t="s">
        <v>101</v>
      </c>
      <c r="E105" s="11" t="s">
        <v>1373</v>
      </c>
      <c r="F105" s="15" t="n">
        <v>1</v>
      </c>
      <c r="G105" s="15" t="str">
        <f aca="false">IF(F105&gt;0,"Yes","NO")</f>
        <v>Yes</v>
      </c>
    </row>
    <row r="106" customFormat="false" ht="15" hidden="false" customHeight="false" outlineLevel="0" collapsed="false">
      <c r="A106" s="22" t="s">
        <v>484</v>
      </c>
      <c r="B106" s="22" t="s">
        <v>310</v>
      </c>
      <c r="C106" s="17" t="s">
        <v>1194</v>
      </c>
      <c r="D106" s="18" t="s">
        <v>101</v>
      </c>
      <c r="E106" s="17" t="s">
        <v>2174</v>
      </c>
      <c r="F106" s="18" t="n">
        <v>3</v>
      </c>
      <c r="G106" s="18" t="str">
        <f aca="false">IF(F106&gt;0,"Yes","NO")</f>
        <v>Yes</v>
      </c>
    </row>
    <row r="107" customFormat="false" ht="15" hidden="false" customHeight="false" outlineLevel="0" collapsed="false">
      <c r="A107" s="21" t="s">
        <v>1201</v>
      </c>
      <c r="B107" s="21" t="s">
        <v>310</v>
      </c>
      <c r="C107" s="11" t="s">
        <v>2175</v>
      </c>
      <c r="D107" s="15" t="s">
        <v>101</v>
      </c>
      <c r="E107" s="11" t="s">
        <v>2176</v>
      </c>
      <c r="F107" s="15" t="n">
        <v>4</v>
      </c>
      <c r="G107" s="15" t="str">
        <f aca="false">IF(F107&gt;0,"Yes","NO")</f>
        <v>Yes</v>
      </c>
    </row>
    <row r="108" customFormat="false" ht="15" hidden="false" customHeight="false" outlineLevel="0" collapsed="false">
      <c r="A108" s="22" t="s">
        <v>1207</v>
      </c>
      <c r="B108" s="22" t="s">
        <v>310</v>
      </c>
      <c r="C108" s="17" t="s">
        <v>1205</v>
      </c>
      <c r="D108" s="18" t="s">
        <v>101</v>
      </c>
      <c r="E108" s="17" t="s">
        <v>1204</v>
      </c>
      <c r="F108" s="18" t="n">
        <v>1</v>
      </c>
      <c r="G108" s="18" t="str">
        <f aca="false">IF(F108&gt;0,"Yes","NO")</f>
        <v>Yes</v>
      </c>
    </row>
    <row r="109" customFormat="false" ht="15" hidden="false" customHeight="false" outlineLevel="0" collapsed="false">
      <c r="A109" s="21" t="s">
        <v>649</v>
      </c>
      <c r="B109" s="21" t="s">
        <v>310</v>
      </c>
      <c r="C109" s="11" t="s">
        <v>1211</v>
      </c>
      <c r="D109" s="15" t="s">
        <v>101</v>
      </c>
      <c r="E109" s="11" t="s">
        <v>2177</v>
      </c>
      <c r="F109" s="15" t="n">
        <v>2</v>
      </c>
      <c r="G109" s="15" t="str">
        <f aca="false">IF(F109&gt;0,"Yes","NO")</f>
        <v>Yes</v>
      </c>
    </row>
    <row r="110" customFormat="false" ht="15" hidden="false" customHeight="false" outlineLevel="0" collapsed="false">
      <c r="A110" s="22" t="s">
        <v>2178</v>
      </c>
      <c r="B110" s="22" t="s">
        <v>310</v>
      </c>
      <c r="C110" s="17" t="s">
        <v>1216</v>
      </c>
      <c r="D110" s="18" t="s">
        <v>101</v>
      </c>
      <c r="E110" s="17" t="s">
        <v>1215</v>
      </c>
      <c r="F110" s="18" t="n">
        <v>1</v>
      </c>
      <c r="G110" s="18" t="str">
        <f aca="false">IF(F110&gt;0,"Yes","NO")</f>
        <v>Yes</v>
      </c>
    </row>
    <row r="111" customFormat="false" ht="15" hidden="false" customHeight="false" outlineLevel="0" collapsed="false">
      <c r="A111" s="21" t="s">
        <v>1235</v>
      </c>
      <c r="B111" s="21" t="s">
        <v>310</v>
      </c>
      <c r="C111" s="11" t="s">
        <v>2179</v>
      </c>
      <c r="D111" s="15" t="s">
        <v>101</v>
      </c>
      <c r="E111" s="11" t="s">
        <v>2180</v>
      </c>
      <c r="F111" s="15" t="n">
        <v>2</v>
      </c>
      <c r="G111" s="15" t="str">
        <f aca="false">IF(F111&gt;0,"Yes","NO")</f>
        <v>Yes</v>
      </c>
    </row>
    <row r="112" customFormat="false" ht="15" hidden="false" customHeight="false" outlineLevel="0" collapsed="false">
      <c r="A112" s="22" t="s">
        <v>1224</v>
      </c>
      <c r="B112" s="22" t="s">
        <v>310</v>
      </c>
      <c r="C112" s="17" t="s">
        <v>1222</v>
      </c>
      <c r="D112" s="18" t="s">
        <v>101</v>
      </c>
      <c r="E112" s="17" t="s">
        <v>1221</v>
      </c>
      <c r="F112" s="18" t="n">
        <v>1</v>
      </c>
      <c r="G112" s="18" t="str">
        <f aca="false">IF(F112&gt;0,"Yes","NO")</f>
        <v>Yes</v>
      </c>
    </row>
    <row r="113" customFormat="false" ht="15" hidden="false" customHeight="false" outlineLevel="0" collapsed="false">
      <c r="A113" s="21" t="s">
        <v>1229</v>
      </c>
      <c r="B113" s="21" t="s">
        <v>310</v>
      </c>
      <c r="C113" s="11" t="s">
        <v>1227</v>
      </c>
      <c r="D113" s="15" t="s">
        <v>101</v>
      </c>
      <c r="E113" s="11" t="s">
        <v>1226</v>
      </c>
      <c r="F113" s="15" t="n">
        <v>1</v>
      </c>
      <c r="G113" s="15" t="str">
        <f aca="false">IF(F113&gt;0,"Yes","NO")</f>
        <v>Yes</v>
      </c>
    </row>
    <row r="114" customFormat="false" ht="15" hidden="false" customHeight="false" outlineLevel="0" collapsed="false">
      <c r="A114" s="22" t="s">
        <v>1241</v>
      </c>
      <c r="B114" s="22" t="s">
        <v>310</v>
      </c>
      <c r="C114" s="17" t="s">
        <v>1239</v>
      </c>
      <c r="D114" s="18" t="s">
        <v>101</v>
      </c>
      <c r="E114" s="17" t="s">
        <v>2181</v>
      </c>
      <c r="F114" s="18" t="n">
        <v>2</v>
      </c>
      <c r="G114" s="18" t="str">
        <f aca="false">IF(F114&gt;0,"Yes","NO")</f>
        <v>Yes</v>
      </c>
    </row>
    <row r="115" customFormat="false" ht="15" hidden="false" customHeight="false" outlineLevel="0" collapsed="false">
      <c r="A115" s="21" t="s">
        <v>1258</v>
      </c>
      <c r="B115" s="21" t="s">
        <v>310</v>
      </c>
      <c r="C115" s="11" t="s">
        <v>1256</v>
      </c>
      <c r="D115" s="15" t="s">
        <v>101</v>
      </c>
      <c r="E115" s="11" t="s">
        <v>1255</v>
      </c>
      <c r="F115" s="15" t="n">
        <v>1</v>
      </c>
      <c r="G115" s="15" t="str">
        <f aca="false">IF(F115&gt;0,"Yes","NO")</f>
        <v>Yes</v>
      </c>
    </row>
    <row r="116" customFormat="false" ht="15" hidden="false" customHeight="false" outlineLevel="0" collapsed="false">
      <c r="A116" s="22" t="s">
        <v>2182</v>
      </c>
      <c r="B116" s="22" t="s">
        <v>310</v>
      </c>
      <c r="C116" s="17" t="s">
        <v>1262</v>
      </c>
      <c r="D116" s="18" t="s">
        <v>101</v>
      </c>
      <c r="E116" s="17" t="s">
        <v>2183</v>
      </c>
      <c r="F116" s="18" t="n">
        <v>2</v>
      </c>
      <c r="G116" s="18" t="str">
        <f aca="false">IF(F116&gt;0,"Yes","NO")</f>
        <v>Yes</v>
      </c>
    </row>
    <row r="117" customFormat="false" ht="15" hidden="false" customHeight="false" outlineLevel="0" collapsed="false">
      <c r="A117" s="21" t="s">
        <v>2184</v>
      </c>
      <c r="B117" s="21" t="s">
        <v>310</v>
      </c>
      <c r="C117" s="11" t="s">
        <v>1268</v>
      </c>
      <c r="D117" s="15" t="s">
        <v>101</v>
      </c>
      <c r="E117" s="11" t="s">
        <v>2185</v>
      </c>
      <c r="F117" s="15" t="n">
        <v>3</v>
      </c>
      <c r="G117" s="15" t="str">
        <f aca="false">IF(F117&gt;0,"Yes","NO")</f>
        <v>Yes</v>
      </c>
    </row>
    <row r="118" customFormat="false" ht="15" hidden="false" customHeight="false" outlineLevel="0" collapsed="false">
      <c r="A118" s="22" t="s">
        <v>260</v>
      </c>
      <c r="B118" s="22" t="s">
        <v>310</v>
      </c>
      <c r="C118" s="17" t="s">
        <v>2186</v>
      </c>
      <c r="D118" s="18" t="s">
        <v>101</v>
      </c>
      <c r="E118" s="17" t="s">
        <v>2187</v>
      </c>
      <c r="F118" s="18" t="n">
        <v>3</v>
      </c>
      <c r="G118" s="18" t="str">
        <f aca="false">IF(F118&gt;0,"Yes","NO")</f>
        <v>Yes</v>
      </c>
    </row>
    <row r="119" customFormat="false" ht="15" hidden="false" customHeight="false" outlineLevel="0" collapsed="false">
      <c r="A119" s="21" t="s">
        <v>1302</v>
      </c>
      <c r="B119" s="21" t="s">
        <v>310</v>
      </c>
      <c r="C119" s="11" t="s">
        <v>1300</v>
      </c>
      <c r="D119" s="15" t="s">
        <v>460</v>
      </c>
      <c r="E119" s="11" t="s">
        <v>1299</v>
      </c>
      <c r="F119" s="15" t="n">
        <v>1</v>
      </c>
      <c r="G119" s="15" t="str">
        <f aca="false">IF(F119&gt;0,"Yes","NO")</f>
        <v>Yes</v>
      </c>
    </row>
    <row r="120" customFormat="false" ht="15" hidden="false" customHeight="false" outlineLevel="0" collapsed="false">
      <c r="A120" s="22" t="s">
        <v>1181</v>
      </c>
      <c r="B120" s="22" t="s">
        <v>310</v>
      </c>
      <c r="C120" s="17" t="s">
        <v>1179</v>
      </c>
      <c r="D120" s="18" t="s">
        <v>101</v>
      </c>
      <c r="E120" s="17" t="s">
        <v>1178</v>
      </c>
      <c r="F120" s="18" t="n">
        <v>1</v>
      </c>
      <c r="G120" s="18" t="str">
        <f aca="false">IF(F120&gt;0,"Yes","NO")</f>
        <v>Yes</v>
      </c>
    </row>
    <row r="121" customFormat="false" ht="15" hidden="false" customHeight="false" outlineLevel="0" collapsed="false">
      <c r="A121" s="21" t="s">
        <v>630</v>
      </c>
      <c r="B121" s="21" t="s">
        <v>310</v>
      </c>
      <c r="C121" s="11" t="s">
        <v>628</v>
      </c>
      <c r="D121" s="15" t="s">
        <v>101</v>
      </c>
      <c r="E121" s="11" t="s">
        <v>627</v>
      </c>
      <c r="F121" s="15" t="n">
        <v>1</v>
      </c>
      <c r="G121" s="15" t="str">
        <f aca="false">IF(F121&gt;0,"Yes","NO")</f>
        <v>Yes</v>
      </c>
    </row>
    <row r="122" customFormat="false" ht="15" hidden="false" customHeight="false" outlineLevel="0" collapsed="false">
      <c r="A122" s="22" t="s">
        <v>1281</v>
      </c>
      <c r="B122" s="22" t="s">
        <v>310</v>
      </c>
      <c r="C122" s="17" t="s">
        <v>2188</v>
      </c>
      <c r="D122" s="18" t="s">
        <v>101</v>
      </c>
      <c r="E122" s="17" t="s">
        <v>2189</v>
      </c>
      <c r="F122" s="18" t="n">
        <v>4</v>
      </c>
      <c r="G122" s="18" t="str">
        <f aca="false">IF(F122&gt;0,"Yes","NO")</f>
        <v>Yes</v>
      </c>
    </row>
    <row r="123" customFormat="false" ht="15" hidden="false" customHeight="false" outlineLevel="0" collapsed="false">
      <c r="A123" s="21" t="s">
        <v>2190</v>
      </c>
      <c r="B123" s="21" t="s">
        <v>310</v>
      </c>
      <c r="C123" s="11" t="s">
        <v>2191</v>
      </c>
      <c r="D123" s="15" t="s">
        <v>211</v>
      </c>
      <c r="E123" s="11" t="s">
        <v>1243</v>
      </c>
      <c r="F123" s="15" t="n">
        <v>1</v>
      </c>
      <c r="G123" s="15" t="str">
        <f aca="false">IF(F123&gt;0,"Yes","NO")</f>
        <v>Yes</v>
      </c>
    </row>
    <row r="124" customFormat="false" ht="15" hidden="false" customHeight="false" outlineLevel="0" collapsed="false">
      <c r="A124" s="22" t="s">
        <v>2192</v>
      </c>
      <c r="B124" s="22" t="s">
        <v>310</v>
      </c>
      <c r="C124" s="17" t="s">
        <v>2193</v>
      </c>
      <c r="D124" s="18" t="s">
        <v>101</v>
      </c>
      <c r="E124" s="17" t="s">
        <v>1249</v>
      </c>
      <c r="F124" s="18" t="n">
        <v>1</v>
      </c>
      <c r="G124" s="18" t="str">
        <f aca="false">IF(F124&gt;0,"Yes","NO")</f>
        <v>Yes</v>
      </c>
    </row>
    <row r="125" customFormat="false" ht="15" hidden="false" customHeight="false" outlineLevel="0" collapsed="false">
      <c r="A125" s="21" t="s">
        <v>2194</v>
      </c>
      <c r="B125" s="21" t="s">
        <v>310</v>
      </c>
      <c r="C125" s="11" t="s">
        <v>1295</v>
      </c>
      <c r="D125" s="15" t="s">
        <v>460</v>
      </c>
      <c r="E125" s="11" t="s">
        <v>2032</v>
      </c>
      <c r="F125" s="15" t="n">
        <v>2</v>
      </c>
      <c r="G125" s="15" t="str">
        <f aca="false">IF(F125&gt;0,"Yes","NO")</f>
        <v>Yes</v>
      </c>
    </row>
    <row r="126" customFormat="false" ht="15" hidden="false" customHeight="false" outlineLevel="0" collapsed="false">
      <c r="A126" s="22" t="s">
        <v>1292</v>
      </c>
      <c r="B126" s="22" t="s">
        <v>310</v>
      </c>
      <c r="C126" s="17" t="s">
        <v>1290</v>
      </c>
      <c r="D126" s="18" t="s">
        <v>211</v>
      </c>
      <c r="E126" s="17" t="s">
        <v>1289</v>
      </c>
      <c r="F126" s="18" t="n">
        <v>1</v>
      </c>
      <c r="G126" s="18" t="str">
        <f aca="false">IF(F126&gt;0,"Yes","NO")</f>
        <v>Yes</v>
      </c>
    </row>
    <row r="127" customFormat="false" ht="15" hidden="false" customHeight="false" outlineLevel="0" collapsed="false">
      <c r="A127" s="21" t="s">
        <v>2195</v>
      </c>
      <c r="B127" s="21" t="s">
        <v>310</v>
      </c>
      <c r="C127" s="11" t="s">
        <v>1285</v>
      </c>
      <c r="D127" s="15" t="s">
        <v>211</v>
      </c>
      <c r="E127" s="11" t="s">
        <v>2196</v>
      </c>
      <c r="F127" s="15" t="n">
        <v>2</v>
      </c>
      <c r="G127" s="15" t="str">
        <f aca="false">IF(F127&gt;0,"Yes","NO")</f>
        <v>Yes</v>
      </c>
    </row>
    <row r="128" customFormat="false" ht="15" hidden="false" customHeight="false" outlineLevel="0" collapsed="false">
      <c r="A128" s="22" t="s">
        <v>2197</v>
      </c>
      <c r="B128" s="22" t="s">
        <v>2198</v>
      </c>
      <c r="C128" s="17" t="s">
        <v>2199</v>
      </c>
      <c r="D128" s="18" t="s">
        <v>101</v>
      </c>
      <c r="E128" s="17" t="s">
        <v>813</v>
      </c>
      <c r="F128" s="18" t="n">
        <v>1</v>
      </c>
      <c r="G128" s="18" t="str">
        <f aca="false">IF(F128&gt;0,"Yes","NO")</f>
        <v>Yes</v>
      </c>
    </row>
    <row r="129" customFormat="false" ht="15" hidden="false" customHeight="false" outlineLevel="0" collapsed="false">
      <c r="A129" s="21" t="s">
        <v>828</v>
      </c>
      <c r="B129" s="21" t="s">
        <v>2198</v>
      </c>
      <c r="C129" s="11" t="s">
        <v>2200</v>
      </c>
      <c r="D129" s="15" t="s">
        <v>101</v>
      </c>
      <c r="E129" s="11" t="s">
        <v>825</v>
      </c>
      <c r="F129" s="15" t="n">
        <v>1</v>
      </c>
      <c r="G129" s="15" t="str">
        <f aca="false">IF(F129&gt;0,"Yes","NO")</f>
        <v>Yes</v>
      </c>
    </row>
    <row r="130" customFormat="false" ht="15" hidden="false" customHeight="false" outlineLevel="0" collapsed="false">
      <c r="A130" s="22" t="s">
        <v>2201</v>
      </c>
      <c r="B130" s="22" t="s">
        <v>2198</v>
      </c>
      <c r="C130" s="17" t="s">
        <v>2120</v>
      </c>
      <c r="D130" s="18" t="s">
        <v>101</v>
      </c>
      <c r="E130" s="17" t="s">
        <v>2202</v>
      </c>
      <c r="F130" s="18" t="n">
        <v>3</v>
      </c>
      <c r="G130" s="18" t="str">
        <f aca="false">IF(F130&gt;0,"Yes","NO")</f>
        <v>Yes</v>
      </c>
    </row>
    <row r="131" customFormat="false" ht="15" hidden="false" customHeight="false" outlineLevel="0" collapsed="false">
      <c r="A131" s="21" t="s">
        <v>33</v>
      </c>
      <c r="B131" s="21" t="s">
        <v>2198</v>
      </c>
      <c r="C131" s="11" t="s">
        <v>2203</v>
      </c>
      <c r="D131" s="15" t="s">
        <v>211</v>
      </c>
      <c r="E131" s="11" t="s">
        <v>819</v>
      </c>
      <c r="F131" s="15" t="n">
        <v>1</v>
      </c>
      <c r="G131" s="15" t="str">
        <f aca="false">IF(F131&gt;0,"Yes","NO")</f>
        <v>Yes</v>
      </c>
    </row>
    <row r="132" customFormat="false" ht="15" hidden="false" customHeight="false" outlineLevel="0" collapsed="false">
      <c r="A132" s="22" t="s">
        <v>678</v>
      </c>
      <c r="B132" s="22" t="s">
        <v>2198</v>
      </c>
      <c r="C132" s="17" t="s">
        <v>2204</v>
      </c>
      <c r="D132" s="18" t="s">
        <v>101</v>
      </c>
      <c r="E132" s="17" t="s">
        <v>2205</v>
      </c>
      <c r="F132" s="18" t="n">
        <v>3</v>
      </c>
      <c r="G132" s="18" t="str">
        <f aca="false">IF(F132&gt;0,"Yes","NO")</f>
        <v>Yes</v>
      </c>
    </row>
    <row r="133" customFormat="false" ht="15" hidden="false" customHeight="false" outlineLevel="0" collapsed="false">
      <c r="A133" s="21" t="s">
        <v>2206</v>
      </c>
      <c r="B133" s="21" t="s">
        <v>2198</v>
      </c>
      <c r="C133" s="11" t="s">
        <v>2207</v>
      </c>
      <c r="D133" s="15" t="s">
        <v>101</v>
      </c>
      <c r="E133" s="11" t="s">
        <v>546</v>
      </c>
      <c r="F133" s="15" t="n">
        <v>1</v>
      </c>
      <c r="G133" s="15" t="str">
        <f aca="false">IF(F133&gt;0,"Yes","NO")</f>
        <v>Yes</v>
      </c>
    </row>
    <row r="134" customFormat="false" ht="15" hidden="false" customHeight="false" outlineLevel="0" collapsed="false">
      <c r="A134" s="22" t="s">
        <v>834</v>
      </c>
      <c r="B134" s="22" t="s">
        <v>2198</v>
      </c>
      <c r="C134" s="17" t="s">
        <v>2208</v>
      </c>
      <c r="D134" s="18" t="s">
        <v>211</v>
      </c>
      <c r="E134" s="17" t="s">
        <v>831</v>
      </c>
      <c r="F134" s="18" t="n">
        <v>1</v>
      </c>
      <c r="G134" s="18" t="str">
        <f aca="false">IF(F134&gt;0,"Yes","NO")</f>
        <v>Yes</v>
      </c>
    </row>
    <row r="135" customFormat="false" ht="15" hidden="false" customHeight="false" outlineLevel="0" collapsed="false">
      <c r="A135" s="21" t="s">
        <v>2209</v>
      </c>
      <c r="B135" s="21" t="s">
        <v>2198</v>
      </c>
      <c r="C135" s="11" t="s">
        <v>2210</v>
      </c>
      <c r="D135" s="15" t="s">
        <v>101</v>
      </c>
      <c r="E135" s="11" t="s">
        <v>813</v>
      </c>
      <c r="F135" s="15" t="n">
        <v>1</v>
      </c>
      <c r="G135" s="15" t="str">
        <f aca="false">IF(F135&gt;0,"Yes","NO")</f>
        <v>Yes</v>
      </c>
    </row>
    <row r="136" customFormat="false" ht="15" hidden="false" customHeight="false" outlineLevel="0" collapsed="false">
      <c r="A136" s="22" t="s">
        <v>1074</v>
      </c>
      <c r="B136" s="22" t="s">
        <v>1060</v>
      </c>
      <c r="C136" s="17" t="s">
        <v>1072</v>
      </c>
      <c r="D136" s="18" t="s">
        <v>101</v>
      </c>
      <c r="E136" s="17" t="s">
        <v>1071</v>
      </c>
      <c r="F136" s="18" t="n">
        <v>1</v>
      </c>
      <c r="G136" s="18" t="str">
        <f aca="false">IF(F136&gt;0,"Yes","NO")</f>
        <v>Yes</v>
      </c>
    </row>
    <row r="137" customFormat="false" ht="15" hidden="false" customHeight="false" outlineLevel="0" collapsed="false">
      <c r="A137" s="21" t="s">
        <v>1086</v>
      </c>
      <c r="B137" s="21" t="s">
        <v>1060</v>
      </c>
      <c r="C137" s="11" t="s">
        <v>2211</v>
      </c>
      <c r="D137" s="15" t="s">
        <v>211</v>
      </c>
      <c r="E137" s="11" t="s">
        <v>2212</v>
      </c>
      <c r="F137" s="15" t="n">
        <v>2</v>
      </c>
      <c r="G137" s="15" t="str">
        <f aca="false">IF(F137&gt;0,"Yes","NO")</f>
        <v>Yes</v>
      </c>
    </row>
    <row r="138" customFormat="false" ht="15" hidden="false" customHeight="false" outlineLevel="0" collapsed="false">
      <c r="A138" s="22" t="s">
        <v>25</v>
      </c>
      <c r="B138" s="22" t="s">
        <v>1060</v>
      </c>
      <c r="C138" s="17" t="s">
        <v>1089</v>
      </c>
      <c r="D138" s="18" t="s">
        <v>211</v>
      </c>
      <c r="E138" s="17" t="s">
        <v>1088</v>
      </c>
      <c r="F138" s="18" t="n">
        <v>1</v>
      </c>
      <c r="G138" s="18" t="str">
        <f aca="false">IF(F138&gt;0,"Yes","NO")</f>
        <v>Yes</v>
      </c>
    </row>
    <row r="139" customFormat="false" ht="15" hidden="false" customHeight="false" outlineLevel="0" collapsed="false">
      <c r="A139" s="21" t="s">
        <v>1103</v>
      </c>
      <c r="B139" s="21" t="s">
        <v>1060</v>
      </c>
      <c r="C139" s="11" t="s">
        <v>1101</v>
      </c>
      <c r="D139" s="15" t="s">
        <v>211</v>
      </c>
      <c r="E139" s="11" t="s">
        <v>1100</v>
      </c>
      <c r="F139" s="15" t="n">
        <v>1</v>
      </c>
      <c r="G139" s="15" t="str">
        <f aca="false">IF(F139&gt;0,"Yes","NO")</f>
        <v>Yes</v>
      </c>
    </row>
    <row r="140" customFormat="false" ht="15" hidden="false" customHeight="false" outlineLevel="0" collapsed="false">
      <c r="A140" s="22" t="s">
        <v>2213</v>
      </c>
      <c r="B140" s="22" t="s">
        <v>1060</v>
      </c>
      <c r="C140" s="17" t="s">
        <v>2214</v>
      </c>
      <c r="D140" s="18" t="s">
        <v>101</v>
      </c>
      <c r="E140" s="17" t="s">
        <v>1077</v>
      </c>
      <c r="F140" s="18" t="n">
        <v>1</v>
      </c>
      <c r="G140" s="18" t="str">
        <f aca="false">IF(F140&gt;0,"Yes","NO")</f>
        <v>Yes</v>
      </c>
    </row>
    <row r="141" customFormat="false" ht="15" hidden="false" customHeight="false" outlineLevel="0" collapsed="false">
      <c r="A141" s="21" t="s">
        <v>2215</v>
      </c>
      <c r="B141" s="21" t="s">
        <v>1060</v>
      </c>
      <c r="C141" s="11" t="s">
        <v>2216</v>
      </c>
      <c r="D141" s="15" t="s">
        <v>101</v>
      </c>
      <c r="E141" s="11" t="s">
        <v>1077</v>
      </c>
      <c r="F141" s="15" t="n">
        <v>1</v>
      </c>
      <c r="G141" s="15" t="str">
        <f aca="false">IF(F141&gt;0,"Yes","NO")</f>
        <v>Yes</v>
      </c>
    </row>
    <row r="142" customFormat="false" ht="15" hidden="false" customHeight="false" outlineLevel="0" collapsed="false">
      <c r="A142" s="22" t="s">
        <v>1097</v>
      </c>
      <c r="B142" s="22" t="s">
        <v>1060</v>
      </c>
      <c r="C142" s="17" t="s">
        <v>2217</v>
      </c>
      <c r="D142" s="18" t="s">
        <v>211</v>
      </c>
      <c r="E142" s="17" t="s">
        <v>2218</v>
      </c>
      <c r="F142" s="18" t="n">
        <v>2</v>
      </c>
      <c r="G142" s="18" t="str">
        <f aca="false">IF(F142&gt;0,"Yes","NO")</f>
        <v>Yes</v>
      </c>
    </row>
    <row r="143" customFormat="false" ht="15" hidden="false" customHeight="false" outlineLevel="0" collapsed="false">
      <c r="A143" s="21" t="s">
        <v>2219</v>
      </c>
      <c r="B143" s="21" t="s">
        <v>1060</v>
      </c>
      <c r="C143" s="11" t="s">
        <v>1107</v>
      </c>
      <c r="D143" s="15" t="s">
        <v>101</v>
      </c>
      <c r="E143" s="11" t="s">
        <v>1106</v>
      </c>
      <c r="F143" s="15" t="n">
        <v>1</v>
      </c>
      <c r="G143" s="15" t="str">
        <f aca="false">IF(F143&gt;0,"Yes","NO")</f>
        <v>Yes</v>
      </c>
    </row>
    <row r="144" customFormat="false" ht="15" hidden="false" customHeight="false" outlineLevel="0" collapsed="false">
      <c r="A144" s="22" t="s">
        <v>1069</v>
      </c>
      <c r="B144" s="22" t="s">
        <v>1060</v>
      </c>
      <c r="C144" s="17" t="s">
        <v>1067</v>
      </c>
      <c r="D144" s="18" t="s">
        <v>101</v>
      </c>
      <c r="E144" s="17" t="s">
        <v>2220</v>
      </c>
      <c r="F144" s="18" t="n">
        <v>2</v>
      </c>
      <c r="G144" s="18" t="str">
        <f aca="false">IF(F144&gt;0,"Yes","NO")</f>
        <v>Yes</v>
      </c>
    </row>
    <row r="145" customFormat="false" ht="15" hidden="false" customHeight="false" outlineLevel="0" collapsed="false">
      <c r="A145" s="21" t="s">
        <v>2221</v>
      </c>
      <c r="B145" s="21" t="s">
        <v>916</v>
      </c>
      <c r="C145" s="11" t="s">
        <v>2222</v>
      </c>
      <c r="D145" s="15" t="s">
        <v>101</v>
      </c>
      <c r="E145" s="11" t="s">
        <v>939</v>
      </c>
      <c r="F145" s="15" t="n">
        <v>1</v>
      </c>
      <c r="G145" s="15" t="str">
        <f aca="false">IF(F145&gt;0,"Yes","NO")</f>
        <v>Yes</v>
      </c>
    </row>
    <row r="146" customFormat="false" ht="15" hidden="false" customHeight="false" outlineLevel="0" collapsed="false">
      <c r="A146" s="22" t="s">
        <v>2223</v>
      </c>
      <c r="B146" s="22" t="s">
        <v>916</v>
      </c>
      <c r="C146" s="17" t="s">
        <v>2224</v>
      </c>
      <c r="D146" s="18" t="s">
        <v>211</v>
      </c>
      <c r="E146" s="17" t="s">
        <v>1243</v>
      </c>
      <c r="F146" s="18" t="n">
        <v>1</v>
      </c>
      <c r="G146" s="18" t="str">
        <f aca="false">IF(F146&gt;0,"Yes","NO")</f>
        <v>Yes</v>
      </c>
    </row>
    <row r="147" customFormat="false" ht="15" hidden="false" customHeight="false" outlineLevel="0" collapsed="false">
      <c r="A147" s="21" t="s">
        <v>2225</v>
      </c>
      <c r="B147" s="21" t="s">
        <v>916</v>
      </c>
      <c r="C147" s="11" t="s">
        <v>2226</v>
      </c>
      <c r="D147" s="15" t="s">
        <v>211</v>
      </c>
      <c r="E147" s="11" t="s">
        <v>945</v>
      </c>
      <c r="F147" s="15" t="n">
        <v>1</v>
      </c>
      <c r="G147" s="15" t="str">
        <f aca="false">IF(F147&gt;0,"Yes","NO")</f>
        <v>Yes</v>
      </c>
    </row>
    <row r="148" customFormat="false" ht="15" hidden="false" customHeight="false" outlineLevel="0" collapsed="false">
      <c r="A148" s="22" t="s">
        <v>2227</v>
      </c>
      <c r="B148" s="22" t="s">
        <v>916</v>
      </c>
      <c r="C148" s="17" t="s">
        <v>2226</v>
      </c>
      <c r="D148" s="18" t="s">
        <v>211</v>
      </c>
      <c r="E148" s="17" t="s">
        <v>945</v>
      </c>
      <c r="F148" s="18" t="n">
        <v>1</v>
      </c>
      <c r="G148" s="18" t="str">
        <f aca="false">IF(F148&gt;0,"Yes","NO")</f>
        <v>Yes</v>
      </c>
    </row>
    <row r="149" customFormat="false" ht="15" hidden="false" customHeight="false" outlineLevel="0" collapsed="false">
      <c r="A149" s="21" t="s">
        <v>904</v>
      </c>
      <c r="B149" s="21" t="s">
        <v>916</v>
      </c>
      <c r="C149" s="11" t="s">
        <v>2228</v>
      </c>
      <c r="D149" s="15" t="s">
        <v>101</v>
      </c>
      <c r="E149" s="11" t="s">
        <v>2229</v>
      </c>
      <c r="F149" s="15" t="n">
        <v>2</v>
      </c>
      <c r="G149" s="15" t="str">
        <f aca="false">IF(F149&gt;0,"Yes","NO")</f>
        <v>Yes</v>
      </c>
    </row>
    <row r="150" customFormat="false" ht="15" hidden="false" customHeight="false" outlineLevel="0" collapsed="false">
      <c r="A150" s="22" t="s">
        <v>931</v>
      </c>
      <c r="B150" s="22" t="s">
        <v>916</v>
      </c>
      <c r="C150" s="17" t="s">
        <v>959</v>
      </c>
      <c r="D150" s="18" t="s">
        <v>101</v>
      </c>
      <c r="E150" s="17" t="s">
        <v>2230</v>
      </c>
      <c r="F150" s="18" t="n">
        <v>4</v>
      </c>
      <c r="G150" s="18" t="str">
        <f aca="false">IF(F150&gt;0,"Yes","NO")</f>
        <v>Yes</v>
      </c>
    </row>
    <row r="151" customFormat="false" ht="15" hidden="false" customHeight="false" outlineLevel="0" collapsed="false">
      <c r="A151" s="21" t="s">
        <v>954</v>
      </c>
      <c r="B151" s="21" t="s">
        <v>916</v>
      </c>
      <c r="C151" s="11" t="s">
        <v>2231</v>
      </c>
      <c r="D151" s="15" t="s">
        <v>101</v>
      </c>
      <c r="E151" s="11" t="s">
        <v>2232</v>
      </c>
      <c r="F151" s="15" t="n">
        <v>2</v>
      </c>
      <c r="G151" s="15" t="str">
        <f aca="false">IF(F151&gt;0,"Yes","NO")</f>
        <v>Yes</v>
      </c>
    </row>
    <row r="152" customFormat="false" ht="15" hidden="false" customHeight="false" outlineLevel="0" collapsed="false">
      <c r="A152" s="22" t="s">
        <v>966</v>
      </c>
      <c r="B152" s="22" t="s">
        <v>916</v>
      </c>
      <c r="C152" s="17" t="s">
        <v>964</v>
      </c>
      <c r="D152" s="18" t="s">
        <v>211</v>
      </c>
      <c r="E152" s="17" t="s">
        <v>963</v>
      </c>
      <c r="F152" s="18" t="n">
        <v>1</v>
      </c>
      <c r="G152" s="18" t="str">
        <f aca="false">IF(F152&gt;0,"Yes","NO")</f>
        <v>Yes</v>
      </c>
    </row>
    <row r="153" customFormat="false" ht="15" hidden="false" customHeight="false" outlineLevel="0" collapsed="false">
      <c r="A153" s="21" t="s">
        <v>2233</v>
      </c>
      <c r="B153" s="21" t="s">
        <v>916</v>
      </c>
      <c r="C153" s="11" t="s">
        <v>2171</v>
      </c>
      <c r="D153" s="15" t="s">
        <v>101</v>
      </c>
      <c r="E153" s="11" t="s">
        <v>2172</v>
      </c>
      <c r="F153" s="15" t="n">
        <v>2</v>
      </c>
      <c r="G153" s="15" t="str">
        <f aca="false">IF(F153&gt;0,"Yes","NO")</f>
        <v>Yes</v>
      </c>
    </row>
    <row r="154" customFormat="false" ht="15" hidden="false" customHeight="false" outlineLevel="0" collapsed="false">
      <c r="A154" s="22" t="s">
        <v>2234</v>
      </c>
      <c r="B154" s="22" t="s">
        <v>916</v>
      </c>
      <c r="C154" s="17" t="s">
        <v>2235</v>
      </c>
      <c r="D154" s="18" t="s">
        <v>101</v>
      </c>
      <c r="E154" s="17" t="s">
        <v>2172</v>
      </c>
      <c r="F154" s="18" t="n">
        <v>2</v>
      </c>
      <c r="G154" s="18" t="str">
        <f aca="false">IF(F154&gt;0,"Yes","NO")</f>
        <v>Yes</v>
      </c>
    </row>
    <row r="155" customFormat="false" ht="23.85" hidden="false" customHeight="false" outlineLevel="0" collapsed="false">
      <c r="A155" s="21" t="s">
        <v>1392</v>
      </c>
      <c r="B155" s="21" t="s">
        <v>485</v>
      </c>
      <c r="C155" s="11" t="s">
        <v>2236</v>
      </c>
      <c r="D155" s="15" t="s">
        <v>101</v>
      </c>
      <c r="E155" s="11" t="s">
        <v>2237</v>
      </c>
      <c r="F155" s="15" t="n">
        <v>2</v>
      </c>
      <c r="G155" s="15" t="str">
        <f aca="false">IF(F155&gt;0,"Yes","NO")</f>
        <v>Yes</v>
      </c>
    </row>
    <row r="156" customFormat="false" ht="15" hidden="false" customHeight="false" outlineLevel="0" collapsed="false">
      <c r="A156" s="22" t="s">
        <v>2238</v>
      </c>
      <c r="B156" s="22" t="s">
        <v>485</v>
      </c>
      <c r="C156" s="17" t="s">
        <v>1054</v>
      </c>
      <c r="D156" s="18" t="s">
        <v>211</v>
      </c>
      <c r="E156" s="17" t="s">
        <v>1053</v>
      </c>
      <c r="F156" s="18" t="n">
        <v>1</v>
      </c>
      <c r="G156" s="18" t="str">
        <f aca="false">IF(F156&gt;0,"Yes","NO")</f>
        <v>Yes</v>
      </c>
    </row>
    <row r="157" customFormat="false" ht="15" hidden="false" customHeight="false" outlineLevel="0" collapsed="false">
      <c r="A157" s="21" t="s">
        <v>2239</v>
      </c>
      <c r="B157" s="21" t="s">
        <v>485</v>
      </c>
      <c r="C157" s="11" t="s">
        <v>2240</v>
      </c>
      <c r="D157" s="15" t="s">
        <v>101</v>
      </c>
      <c r="E157" s="11" t="s">
        <v>1014</v>
      </c>
      <c r="F157" s="15" t="n">
        <v>1</v>
      </c>
      <c r="G157" s="15" t="str">
        <f aca="false">IF(F157&gt;0,"Yes","NO")</f>
        <v>Yes</v>
      </c>
    </row>
    <row r="158" customFormat="false" ht="15" hidden="false" customHeight="false" outlineLevel="0" collapsed="false">
      <c r="A158" s="22" t="s">
        <v>1175</v>
      </c>
      <c r="B158" s="22" t="s">
        <v>485</v>
      </c>
      <c r="C158" s="17" t="s">
        <v>2241</v>
      </c>
      <c r="D158" s="18" t="s">
        <v>101</v>
      </c>
      <c r="E158" s="17" t="s">
        <v>2242</v>
      </c>
      <c r="F158" s="18" t="n">
        <v>3</v>
      </c>
      <c r="G158" s="18" t="str">
        <f aca="false">IF(F158&gt;0,"Yes","NO")</f>
        <v>Yes</v>
      </c>
    </row>
    <row r="159" customFormat="false" ht="15" hidden="false" customHeight="false" outlineLevel="0" collapsed="false">
      <c r="A159" s="21" t="s">
        <v>1040</v>
      </c>
      <c r="B159" s="21" t="s">
        <v>485</v>
      </c>
      <c r="C159" s="11" t="s">
        <v>1038</v>
      </c>
      <c r="D159" s="15" t="s">
        <v>101</v>
      </c>
      <c r="E159" s="11" t="s">
        <v>1037</v>
      </c>
      <c r="F159" s="15" t="n">
        <v>1</v>
      </c>
      <c r="G159" s="15" t="str">
        <f aca="false">IF(F159&gt;0,"Yes","NO")</f>
        <v>Yes</v>
      </c>
    </row>
    <row r="160" customFormat="false" ht="23.85" hidden="false" customHeight="false" outlineLevel="0" collapsed="false">
      <c r="A160" s="22" t="s">
        <v>1916</v>
      </c>
      <c r="B160" s="22" t="s">
        <v>485</v>
      </c>
      <c r="C160" s="17" t="s">
        <v>2243</v>
      </c>
      <c r="D160" s="18" t="s">
        <v>101</v>
      </c>
      <c r="E160" s="17" t="s">
        <v>2244</v>
      </c>
      <c r="F160" s="18" t="n">
        <v>4</v>
      </c>
      <c r="G160" s="18" t="str">
        <f aca="false">IF(F160&gt;0,"Yes","NO")</f>
        <v>Yes</v>
      </c>
    </row>
    <row r="161" customFormat="false" ht="15" hidden="false" customHeight="false" outlineLevel="0" collapsed="false">
      <c r="A161" s="21" t="s">
        <v>2245</v>
      </c>
      <c r="B161" s="21" t="s">
        <v>2246</v>
      </c>
      <c r="C161" s="11" t="s">
        <v>2247</v>
      </c>
      <c r="D161" s="15" t="s">
        <v>101</v>
      </c>
      <c r="E161" s="11" t="s">
        <v>2248</v>
      </c>
      <c r="F161" s="15" t="n">
        <v>3</v>
      </c>
      <c r="G161" s="15" t="str">
        <f aca="false">IF(F161&gt;0,"Yes","NO")</f>
        <v>Yes</v>
      </c>
    </row>
    <row r="162" customFormat="false" ht="15" hidden="false" customHeight="false" outlineLevel="0" collapsed="false">
      <c r="A162" s="22" t="s">
        <v>1623</v>
      </c>
      <c r="B162" s="22" t="s">
        <v>2246</v>
      </c>
      <c r="C162" s="17" t="s">
        <v>2249</v>
      </c>
      <c r="D162" s="18" t="s">
        <v>211</v>
      </c>
      <c r="E162" s="17" t="s">
        <v>2250</v>
      </c>
      <c r="F162" s="18" t="n">
        <v>2</v>
      </c>
      <c r="G162" s="18" t="str">
        <f aca="false">IF(F162&gt;0,"Yes","NO")</f>
        <v>Yes</v>
      </c>
    </row>
    <row r="163" customFormat="false" ht="15" hidden="false" customHeight="false" outlineLevel="0" collapsed="false">
      <c r="A163" s="21" t="s">
        <v>1628</v>
      </c>
      <c r="B163" s="21" t="s">
        <v>2246</v>
      </c>
      <c r="C163" s="11" t="s">
        <v>1626</v>
      </c>
      <c r="D163" s="15" t="s">
        <v>211</v>
      </c>
      <c r="E163" s="11" t="s">
        <v>1625</v>
      </c>
      <c r="F163" s="15" t="n">
        <v>1</v>
      </c>
      <c r="G163" s="15" t="str">
        <f aca="false">IF(F163&gt;0,"Yes","NO")</f>
        <v>Yes</v>
      </c>
    </row>
    <row r="164" customFormat="false" ht="15" hidden="false" customHeight="false" outlineLevel="0" collapsed="false">
      <c r="A164" s="22" t="s">
        <v>1634</v>
      </c>
      <c r="B164" s="22" t="s">
        <v>2246</v>
      </c>
      <c r="C164" s="17" t="s">
        <v>1632</v>
      </c>
      <c r="D164" s="18" t="s">
        <v>211</v>
      </c>
      <c r="E164" s="17" t="s">
        <v>2251</v>
      </c>
      <c r="F164" s="18" t="n">
        <v>2</v>
      </c>
      <c r="G164" s="18" t="str">
        <f aca="false">IF(F164&gt;0,"Yes","NO")</f>
        <v>Yes</v>
      </c>
    </row>
    <row r="165" customFormat="false" ht="23.85" hidden="false" customHeight="false" outlineLevel="0" collapsed="false">
      <c r="A165" s="21" t="s">
        <v>1520</v>
      </c>
      <c r="B165" s="21" t="s">
        <v>2252</v>
      </c>
      <c r="C165" s="11" t="s">
        <v>2253</v>
      </c>
      <c r="D165" s="15" t="s">
        <v>101</v>
      </c>
      <c r="E165" s="11" t="s">
        <v>2254</v>
      </c>
      <c r="F165" s="15" t="n">
        <v>8</v>
      </c>
      <c r="G165" s="15" t="str">
        <f aca="false">IF(F165&gt;0,"Yes","NO")</f>
        <v>Yes</v>
      </c>
    </row>
    <row r="166" customFormat="false" ht="15" hidden="false" customHeight="false" outlineLevel="0" collapsed="false">
      <c r="A166" s="22" t="s">
        <v>189</v>
      </c>
      <c r="B166" s="22" t="s">
        <v>2252</v>
      </c>
      <c r="C166" s="17" t="s">
        <v>2255</v>
      </c>
      <c r="D166" s="18" t="s">
        <v>101</v>
      </c>
      <c r="E166" s="17" t="s">
        <v>2256</v>
      </c>
      <c r="F166" s="18" t="n">
        <v>4</v>
      </c>
      <c r="G166" s="18" t="str">
        <f aca="false">IF(F166&gt;0,"Yes","NO")</f>
        <v>Yes</v>
      </c>
    </row>
    <row r="167" customFormat="false" ht="15" hidden="false" customHeight="false" outlineLevel="0" collapsed="false">
      <c r="A167" s="21" t="s">
        <v>1547</v>
      </c>
      <c r="B167" s="21" t="s">
        <v>2252</v>
      </c>
      <c r="C167" s="11" t="s">
        <v>1545</v>
      </c>
      <c r="D167" s="15" t="s">
        <v>101</v>
      </c>
      <c r="E167" s="11" t="s">
        <v>2257</v>
      </c>
      <c r="F167" s="15" t="n">
        <v>4</v>
      </c>
      <c r="G167" s="15" t="str">
        <f aca="false">IF(F167&gt;0,"Yes","NO")</f>
        <v>Yes</v>
      </c>
    </row>
    <row r="168" customFormat="false" ht="15" hidden="false" customHeight="false" outlineLevel="0" collapsed="false">
      <c r="A168" s="22" t="s">
        <v>1559</v>
      </c>
      <c r="B168" s="22" t="s">
        <v>2252</v>
      </c>
      <c r="C168" s="17" t="s">
        <v>2258</v>
      </c>
      <c r="D168" s="18" t="s">
        <v>101</v>
      </c>
      <c r="E168" s="17" t="s">
        <v>1556</v>
      </c>
      <c r="F168" s="18" t="n">
        <v>1</v>
      </c>
      <c r="G168" s="18" t="str">
        <f aca="false">IF(F168&gt;0,"Yes","NO")</f>
        <v>Yes</v>
      </c>
    </row>
    <row r="169" customFormat="false" ht="23.85" hidden="false" customHeight="false" outlineLevel="0" collapsed="false">
      <c r="A169" s="21" t="s">
        <v>2259</v>
      </c>
      <c r="B169" s="21" t="s">
        <v>2252</v>
      </c>
      <c r="C169" s="11" t="s">
        <v>2260</v>
      </c>
      <c r="D169" s="15" t="s">
        <v>101</v>
      </c>
      <c r="E169" s="11" t="s">
        <v>2261</v>
      </c>
      <c r="F169" s="15" t="n">
        <v>5</v>
      </c>
      <c r="G169" s="15" t="str">
        <f aca="false">IF(F169&gt;0,"Yes","NO")</f>
        <v>Yes</v>
      </c>
    </row>
    <row r="170" customFormat="false" ht="15" hidden="false" customHeight="false" outlineLevel="0" collapsed="false">
      <c r="A170" s="22" t="s">
        <v>2262</v>
      </c>
      <c r="B170" s="22" t="s">
        <v>2252</v>
      </c>
      <c r="C170" s="17" t="s">
        <v>2263</v>
      </c>
      <c r="D170" s="18" t="s">
        <v>101</v>
      </c>
      <c r="E170" s="17" t="s">
        <v>2264</v>
      </c>
      <c r="F170" s="18" t="n">
        <v>2</v>
      </c>
      <c r="G170" s="18" t="str">
        <f aca="false">IF(F170&gt;0,"Yes","NO")</f>
        <v>Yes</v>
      </c>
    </row>
    <row r="171" customFormat="false" ht="15" hidden="false" customHeight="false" outlineLevel="0" collapsed="false">
      <c r="A171" s="21" t="s">
        <v>1553</v>
      </c>
      <c r="B171" s="21" t="s">
        <v>2252</v>
      </c>
      <c r="C171" s="11" t="s">
        <v>2265</v>
      </c>
      <c r="D171" s="15" t="s">
        <v>101</v>
      </c>
      <c r="E171" s="11" t="s">
        <v>2266</v>
      </c>
      <c r="F171" s="15" t="n">
        <v>2</v>
      </c>
      <c r="G171" s="15" t="str">
        <f aca="false">IF(F171&gt;0,"Yes","NO")</f>
        <v>Yes</v>
      </c>
    </row>
    <row r="172" customFormat="false" ht="15" hidden="false" customHeight="false" outlineLevel="0" collapsed="false">
      <c r="A172" s="22" t="s">
        <v>1502</v>
      </c>
      <c r="B172" s="22" t="s">
        <v>2252</v>
      </c>
      <c r="C172" s="17" t="s">
        <v>1500</v>
      </c>
      <c r="D172" s="18" t="s">
        <v>101</v>
      </c>
      <c r="E172" s="17" t="s">
        <v>2267</v>
      </c>
      <c r="F172" s="18" t="n">
        <v>2</v>
      </c>
      <c r="G172" s="18" t="str">
        <f aca="false">IF(F172&gt;0,"Yes","NO")</f>
        <v>Yes</v>
      </c>
    </row>
    <row r="173" customFormat="false" ht="15" hidden="false" customHeight="false" outlineLevel="0" collapsed="false">
      <c r="A173" s="21" t="s">
        <v>1154</v>
      </c>
      <c r="B173" s="21" t="s">
        <v>107</v>
      </c>
      <c r="C173" s="11" t="s">
        <v>2268</v>
      </c>
      <c r="D173" s="15" t="s">
        <v>101</v>
      </c>
      <c r="E173" s="11" t="s">
        <v>2269</v>
      </c>
      <c r="F173" s="15" t="n">
        <v>4</v>
      </c>
      <c r="G173" s="15" t="str">
        <f aca="false">IF(F173&gt;0,"Yes","NO")</f>
        <v>Yes</v>
      </c>
    </row>
    <row r="174" customFormat="false" ht="23.85" hidden="false" customHeight="false" outlineLevel="0" collapsed="false">
      <c r="A174" s="22" t="s">
        <v>2270</v>
      </c>
      <c r="B174" s="22" t="s">
        <v>107</v>
      </c>
      <c r="C174" s="17" t="s">
        <v>2271</v>
      </c>
      <c r="D174" s="18" t="s">
        <v>101</v>
      </c>
      <c r="E174" s="17" t="s">
        <v>2272</v>
      </c>
      <c r="F174" s="18" t="n">
        <v>2</v>
      </c>
      <c r="G174" s="18" t="str">
        <f aca="false">IF(F174&gt;0,"Yes","NO")</f>
        <v>Yes</v>
      </c>
    </row>
    <row r="175" customFormat="false" ht="15" hidden="false" customHeight="false" outlineLevel="0" collapsed="false">
      <c r="A175" s="21" t="s">
        <v>1165</v>
      </c>
      <c r="B175" s="21" t="s">
        <v>107</v>
      </c>
      <c r="C175" s="11" t="s">
        <v>2273</v>
      </c>
      <c r="D175" s="15" t="s">
        <v>101</v>
      </c>
      <c r="E175" s="11" t="s">
        <v>2274</v>
      </c>
      <c r="F175" s="15" t="n">
        <v>2</v>
      </c>
      <c r="G175" s="15" t="str">
        <f aca="false">IF(F175&gt;0,"Yes","NO")</f>
        <v>Yes</v>
      </c>
    </row>
    <row r="176" customFormat="false" ht="15" hidden="false" customHeight="false" outlineLevel="0" collapsed="false">
      <c r="A176" s="22" t="s">
        <v>2275</v>
      </c>
      <c r="B176" s="22" t="s">
        <v>107</v>
      </c>
      <c r="C176" s="17" t="s">
        <v>2276</v>
      </c>
      <c r="D176" s="18" t="s">
        <v>101</v>
      </c>
      <c r="E176" s="17" t="s">
        <v>2277</v>
      </c>
      <c r="F176" s="18" t="n">
        <v>2</v>
      </c>
      <c r="G176" s="18" t="str">
        <f aca="false">IF(F176&gt;0,"Yes","NO")</f>
        <v>Yes</v>
      </c>
    </row>
    <row r="177" customFormat="false" ht="23.85" hidden="false" customHeight="false" outlineLevel="0" collapsed="false">
      <c r="A177" s="21" t="s">
        <v>124</v>
      </c>
      <c r="B177" s="21" t="s">
        <v>107</v>
      </c>
      <c r="C177" s="11" t="s">
        <v>2278</v>
      </c>
      <c r="D177" s="15" t="s">
        <v>101</v>
      </c>
      <c r="E177" s="11" t="s">
        <v>2279</v>
      </c>
      <c r="F177" s="15" t="n">
        <v>5</v>
      </c>
      <c r="G177" s="15" t="str">
        <f aca="false">IF(F177&gt;0,"Yes","NO")</f>
        <v>Yes</v>
      </c>
    </row>
    <row r="178" customFormat="false" ht="15" hidden="false" customHeight="false" outlineLevel="0" collapsed="false">
      <c r="A178" s="22" t="s">
        <v>161</v>
      </c>
      <c r="B178" s="22" t="s">
        <v>107</v>
      </c>
      <c r="C178" s="17" t="s">
        <v>2280</v>
      </c>
      <c r="D178" s="18" t="s">
        <v>101</v>
      </c>
      <c r="E178" s="17" t="s">
        <v>2281</v>
      </c>
      <c r="F178" s="18" t="n">
        <v>3</v>
      </c>
      <c r="G178" s="18" t="str">
        <f aca="false">IF(F178&gt;0,"Yes","NO")</f>
        <v>Yes</v>
      </c>
    </row>
    <row r="179" customFormat="false" ht="15" hidden="false" customHeight="false" outlineLevel="0" collapsed="false">
      <c r="A179" s="21" t="s">
        <v>989</v>
      </c>
      <c r="B179" s="21" t="s">
        <v>107</v>
      </c>
      <c r="C179" s="11" t="s">
        <v>2282</v>
      </c>
      <c r="D179" s="15" t="s">
        <v>101</v>
      </c>
      <c r="E179" s="11" t="s">
        <v>2283</v>
      </c>
      <c r="F179" s="15" t="n">
        <v>4</v>
      </c>
      <c r="G179" s="15" t="str">
        <f aca="false">IF(F179&gt;0,"Yes","NO")</f>
        <v>Yes</v>
      </c>
    </row>
    <row r="180" customFormat="false" ht="15" hidden="false" customHeight="false" outlineLevel="0" collapsed="false">
      <c r="A180" s="22" t="s">
        <v>23</v>
      </c>
      <c r="B180" s="22" t="s">
        <v>107</v>
      </c>
      <c r="C180" s="17" t="s">
        <v>2284</v>
      </c>
      <c r="D180" s="18" t="s">
        <v>101</v>
      </c>
      <c r="E180" s="17" t="s">
        <v>2285</v>
      </c>
      <c r="F180" s="18" t="n">
        <v>2</v>
      </c>
      <c r="G180" s="18" t="str">
        <f aca="false">IF(F180&gt;0,"Yes","NO")</f>
        <v>Yes</v>
      </c>
    </row>
    <row r="181" customFormat="false" ht="15" hidden="false" customHeight="false" outlineLevel="0" collapsed="false">
      <c r="A181" s="21" t="s">
        <v>2286</v>
      </c>
      <c r="B181" s="21" t="s">
        <v>107</v>
      </c>
      <c r="C181" s="11" t="s">
        <v>807</v>
      </c>
      <c r="D181" s="15" t="s">
        <v>211</v>
      </c>
      <c r="E181" s="11" t="s">
        <v>806</v>
      </c>
      <c r="F181" s="15" t="n">
        <v>1</v>
      </c>
      <c r="G181" s="15" t="str">
        <f aca="false">IF(F181&gt;0,"Yes","NO")</f>
        <v>Yes</v>
      </c>
    </row>
    <row r="182" customFormat="false" ht="23.85" hidden="false" customHeight="false" outlineLevel="0" collapsed="false">
      <c r="A182" s="22" t="s">
        <v>113</v>
      </c>
      <c r="B182" s="22" t="s">
        <v>107</v>
      </c>
      <c r="C182" s="17" t="s">
        <v>2287</v>
      </c>
      <c r="D182" s="18" t="s">
        <v>101</v>
      </c>
      <c r="E182" s="17" t="s">
        <v>2288</v>
      </c>
      <c r="F182" s="18" t="n">
        <v>7</v>
      </c>
      <c r="G182" s="18" t="str">
        <f aca="false">IF(F182&gt;0,"Yes","NO")</f>
        <v>Yes</v>
      </c>
    </row>
    <row r="183" customFormat="false" ht="23.85" hidden="false" customHeight="false" outlineLevel="0" collapsed="false">
      <c r="A183" s="21" t="s">
        <v>148</v>
      </c>
      <c r="B183" s="21" t="s">
        <v>107</v>
      </c>
      <c r="C183" s="11" t="s">
        <v>2289</v>
      </c>
      <c r="D183" s="15" t="s">
        <v>101</v>
      </c>
      <c r="E183" s="11" t="s">
        <v>2290</v>
      </c>
      <c r="F183" s="15" t="n">
        <v>5</v>
      </c>
      <c r="G183" s="15" t="str">
        <f aca="false">IF(F183&gt;0,"Yes","NO")</f>
        <v>Yes</v>
      </c>
    </row>
    <row r="184" customFormat="false" ht="23.85" hidden="false" customHeight="false" outlineLevel="0" collapsed="false">
      <c r="A184" s="22" t="s">
        <v>507</v>
      </c>
      <c r="B184" s="22" t="s">
        <v>107</v>
      </c>
      <c r="C184" s="17" t="s">
        <v>2291</v>
      </c>
      <c r="D184" s="18" t="s">
        <v>101</v>
      </c>
      <c r="E184" s="17" t="s">
        <v>2292</v>
      </c>
      <c r="F184" s="18" t="n">
        <v>6</v>
      </c>
      <c r="G184" s="18" t="str">
        <f aca="false">IF(F184&gt;0,"Yes","NO")</f>
        <v>Yes</v>
      </c>
    </row>
    <row r="185" customFormat="false" ht="23.85" hidden="false" customHeight="false" outlineLevel="0" collapsed="false">
      <c r="A185" s="21" t="s">
        <v>1862</v>
      </c>
      <c r="B185" s="21" t="s">
        <v>107</v>
      </c>
      <c r="C185" s="11" t="s">
        <v>2293</v>
      </c>
      <c r="D185" s="15" t="s">
        <v>101</v>
      </c>
      <c r="E185" s="11" t="s">
        <v>2294</v>
      </c>
      <c r="F185" s="15" t="n">
        <v>5</v>
      </c>
      <c r="G185" s="15" t="str">
        <f aca="false">IF(F185&gt;0,"Yes","NO")</f>
        <v>Yes</v>
      </c>
    </row>
    <row r="186" customFormat="false" ht="15" hidden="false" customHeight="false" outlineLevel="0" collapsed="false">
      <c r="A186" s="22" t="s">
        <v>2295</v>
      </c>
      <c r="B186" s="22" t="s">
        <v>107</v>
      </c>
      <c r="C186" s="17" t="s">
        <v>2296</v>
      </c>
      <c r="D186" s="18" t="s">
        <v>101</v>
      </c>
      <c r="E186" s="17" t="s">
        <v>2297</v>
      </c>
      <c r="F186" s="18" t="n">
        <v>2</v>
      </c>
      <c r="G186" s="18" t="str">
        <f aca="false">IF(F186&gt;0,"Yes","NO")</f>
        <v>Yes</v>
      </c>
    </row>
    <row r="187" customFormat="false" ht="23.85" hidden="false" customHeight="false" outlineLevel="0" collapsed="false">
      <c r="A187" s="21" t="s">
        <v>2298</v>
      </c>
      <c r="B187" s="21" t="s">
        <v>107</v>
      </c>
      <c r="C187" s="11" t="s">
        <v>2152</v>
      </c>
      <c r="D187" s="15" t="s">
        <v>101</v>
      </c>
      <c r="E187" s="11" t="s">
        <v>2299</v>
      </c>
      <c r="F187" s="15" t="n">
        <v>2</v>
      </c>
      <c r="G187" s="15" t="str">
        <f aca="false">IF(F187&gt;0,"Yes","NO")</f>
        <v>Yes</v>
      </c>
    </row>
    <row r="188" customFormat="false" ht="15" hidden="false" customHeight="false" outlineLevel="0" collapsed="false">
      <c r="A188" s="22" t="s">
        <v>242</v>
      </c>
      <c r="B188" s="22" t="s">
        <v>107</v>
      </c>
      <c r="C188" s="17" t="s">
        <v>2300</v>
      </c>
      <c r="D188" s="18" t="s">
        <v>101</v>
      </c>
      <c r="E188" s="17" t="s">
        <v>2301</v>
      </c>
      <c r="F188" s="18" t="n">
        <v>4</v>
      </c>
      <c r="G188" s="18" t="str">
        <f aca="false">IF(F188&gt;0,"Yes","NO")</f>
        <v>Yes</v>
      </c>
    </row>
    <row r="189" customFormat="false" ht="15" hidden="false" customHeight="false" outlineLevel="0" collapsed="false">
      <c r="A189" s="21" t="s">
        <v>2302</v>
      </c>
      <c r="B189" s="21" t="s">
        <v>107</v>
      </c>
      <c r="C189" s="11" t="s">
        <v>2303</v>
      </c>
      <c r="D189" s="15" t="s">
        <v>101</v>
      </c>
      <c r="E189" s="11" t="s">
        <v>1121</v>
      </c>
      <c r="F189" s="15" t="n">
        <v>1</v>
      </c>
      <c r="G189" s="15" t="str">
        <f aca="false">IF(F189&gt;0,"Yes","NO")</f>
        <v>Yes</v>
      </c>
    </row>
    <row r="191" customFormat="false" ht="15" hidden="false" customHeight="false" outlineLevel="0" collapsed="false">
      <c r="A191" s="3" t="s">
        <v>1978</v>
      </c>
      <c r="C191" s="3" t="str">
        <f aca="false">"Requirements in register: "&amp;COUNTA(A5:A189)</f>
        <v>Requirements in register: 185</v>
      </c>
      <c r="F191" s="3" t="n">
        <f aca="false">SUM(F5:F189)</f>
        <v>407</v>
      </c>
      <c r="G191" s="6" t="str">
        <f aca="false">COUNTIF(G5:G189,"NO")&amp;" uncovered"</f>
        <v>0 uncovered</v>
      </c>
    </row>
  </sheetData>
  <autoFilter ref="A4:G189"/>
  <conditionalFormatting sqref="G5:G189">
    <cfRule type="cellIs" priority="2" operator="equal" aboveAverage="0" equalAverage="0" bottom="0" percent="0" rank="0" text="" dxfId="13">
      <formula>"NO"</formula>
    </cfRule>
    <cfRule type="cellIs" priority="3" operator="equal" aboveAverage="0" equalAverage="0" bottom="0" percent="0" rank="0" text="" dxfId="7">
      <formula>"Yes"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7"/>
    <col collapsed="false" customWidth="true" hidden="false" outlineLevel="0" max="7" min="7" style="0" width="8"/>
    <col collapsed="false" customWidth="true" hidden="false" outlineLevel="0" max="9" min="8" style="0" width="7"/>
    <col collapsed="false" customWidth="true" hidden="false" outlineLevel="0" max="11" min="10" style="0" width="9"/>
    <col collapsed="false" customWidth="true" hidden="false" outlineLevel="0" max="13" min="12" style="0" width="12"/>
    <col collapsed="false" customWidth="true" hidden="false" outlineLevel="0" max="14" min="14" style="0" width="7"/>
    <col collapsed="false" customWidth="true" hidden="false" outlineLevel="0" max="15" min="15" style="0" width="12"/>
  </cols>
  <sheetData>
    <row r="1" customFormat="false" ht="19.7" hidden="false" customHeight="false" outlineLevel="0" collapsed="false">
      <c r="A1" s="1" t="s">
        <v>2304</v>
      </c>
    </row>
    <row r="3" customFormat="false" ht="23.85" hidden="false" customHeight="false" outlineLevel="0" collapsed="false">
      <c r="A3" s="8" t="s">
        <v>74</v>
      </c>
      <c r="B3" s="8" t="s">
        <v>2305</v>
      </c>
      <c r="C3" s="8" t="s">
        <v>84</v>
      </c>
      <c r="D3" s="8" t="s">
        <v>2306</v>
      </c>
      <c r="E3" s="8" t="s">
        <v>87</v>
      </c>
      <c r="F3" s="8" t="s">
        <v>100</v>
      </c>
      <c r="G3" s="8" t="s">
        <v>130</v>
      </c>
      <c r="H3" s="8" t="s">
        <v>210</v>
      </c>
      <c r="I3" s="8" t="s">
        <v>101</v>
      </c>
      <c r="J3" s="8" t="s">
        <v>211</v>
      </c>
      <c r="K3" s="8" t="s">
        <v>460</v>
      </c>
      <c r="L3" s="8" t="s">
        <v>2307</v>
      </c>
      <c r="M3" s="8" t="s">
        <v>2308</v>
      </c>
      <c r="N3" s="8" t="s">
        <v>2309</v>
      </c>
      <c r="O3" s="8" t="s">
        <v>2310</v>
      </c>
    </row>
    <row r="4" customFormat="false" ht="15" hidden="false" customHeight="false" outlineLevel="0" collapsed="false">
      <c r="A4" s="9" t="s">
        <v>93</v>
      </c>
      <c r="B4" s="15" t="n">
        <f aca="false">COUNTIF(Backlog!$B$2:$B$350,$A4)</f>
        <v>11</v>
      </c>
      <c r="C4" s="15" t="n">
        <f aca="false">SUMIF(Backlog!$B$2:$B$350,$A4,Backlog!$L$2:$L$350)</f>
        <v>74</v>
      </c>
      <c r="D4" s="23" t="n">
        <f aca="false">IFERROR(C4/$C$33,0)</f>
        <v>0.0327433628318584</v>
      </c>
      <c r="E4" s="16" t="n">
        <f aca="false">C4*README!$B$32</f>
        <v>44.4</v>
      </c>
      <c r="F4" s="15" t="n">
        <f aca="false">COUNTIFS(Backlog!$B$2:$B$350,$A4,Backlog!$J$2:$J$350,"Must")</f>
        <v>10</v>
      </c>
      <c r="G4" s="15" t="n">
        <f aca="false">COUNTIFS(Backlog!$B$2:$B$350,$A4,Backlog!$J$2:$J$350,"Should")</f>
        <v>1</v>
      </c>
      <c r="H4" s="15" t="n">
        <f aca="false">COUNTIFS(Backlog!$B$2:$B$350,$A4,Backlog!$J$2:$J$350,"Could")</f>
        <v>0</v>
      </c>
      <c r="I4" s="15" t="n">
        <f aca="false">COUNTIFS(Backlog!$B$2:$B$350,$A4,Backlog!$K$2:$K$350,"MVP")</f>
        <v>11</v>
      </c>
      <c r="J4" s="15" t="n">
        <f aca="false">COUNTIFS(Backlog!$B$2:$B$350,$A4,Backlog!$K$2:$K$350,"Phase 2")</f>
        <v>0</v>
      </c>
      <c r="K4" s="15" t="n">
        <f aca="false">COUNTIFS(Backlog!$B$2:$B$350,$A4,Backlog!$K$2:$K$350,"Phase 3")</f>
        <v>0</v>
      </c>
      <c r="L4" s="15" t="n">
        <f aca="false">_xlfn.MINIFS(Backlog!$M$2:$M$350,Backlog!$B$2:$B$350,$A4)</f>
        <v>1</v>
      </c>
      <c r="M4" s="15" t="n">
        <f aca="false">_xlfn.MAXIFS(Backlog!$M$2:$M$350,Backlog!$B$2:$B$350,$A4)</f>
        <v>4</v>
      </c>
      <c r="N4" s="15" t="n">
        <f aca="false">COUNTIFS(Backlog!$B$2:$B$350,$A4,Backlog!$R$2:$R$350,"Done")</f>
        <v>0</v>
      </c>
      <c r="O4" s="23" t="n">
        <f aca="false">IFERROR(N4/B4,0)</f>
        <v>0</v>
      </c>
    </row>
    <row r="5" customFormat="false" ht="15" hidden="false" customHeight="false" outlineLevel="0" collapsed="false">
      <c r="A5" s="9" t="s">
        <v>164</v>
      </c>
      <c r="B5" s="15" t="n">
        <f aca="false">COUNTIF(Backlog!$B$2:$B$350,$A5)</f>
        <v>10</v>
      </c>
      <c r="C5" s="15" t="n">
        <f aca="false">SUMIF(Backlog!$B$2:$B$350,$A5,Backlog!$L$2:$L$350)</f>
        <v>60</v>
      </c>
      <c r="D5" s="23" t="n">
        <f aca="false">IFERROR(C5/$C$33,0)</f>
        <v>0.0265486725663717</v>
      </c>
      <c r="E5" s="16" t="n">
        <f aca="false">C5*README!$B$32</f>
        <v>36</v>
      </c>
      <c r="F5" s="15" t="n">
        <f aca="false">COUNTIFS(Backlog!$B$2:$B$350,$A5,Backlog!$J$2:$J$350,"Must")</f>
        <v>8</v>
      </c>
      <c r="G5" s="15" t="n">
        <f aca="false">COUNTIFS(Backlog!$B$2:$B$350,$A5,Backlog!$J$2:$J$350,"Should")</f>
        <v>1</v>
      </c>
      <c r="H5" s="15" t="n">
        <f aca="false">COUNTIFS(Backlog!$B$2:$B$350,$A5,Backlog!$J$2:$J$350,"Could")</f>
        <v>1</v>
      </c>
      <c r="I5" s="15" t="n">
        <f aca="false">COUNTIFS(Backlog!$B$2:$B$350,$A5,Backlog!$K$2:$K$350,"MVP")</f>
        <v>9</v>
      </c>
      <c r="J5" s="15" t="n">
        <f aca="false">COUNTIFS(Backlog!$B$2:$B$350,$A5,Backlog!$K$2:$K$350,"Phase 2")</f>
        <v>1</v>
      </c>
      <c r="K5" s="15" t="n">
        <f aca="false">COUNTIFS(Backlog!$B$2:$B$350,$A5,Backlog!$K$2:$K$350,"Phase 3")</f>
        <v>0</v>
      </c>
      <c r="L5" s="15" t="n">
        <f aca="false">_xlfn.MINIFS(Backlog!$M$2:$M$350,Backlog!$B$2:$B$350,$A5)</f>
        <v>1</v>
      </c>
      <c r="M5" s="15" t="n">
        <f aca="false">_xlfn.MAXIFS(Backlog!$M$2:$M$350,Backlog!$B$2:$B$350,$A5)</f>
        <v>19</v>
      </c>
      <c r="N5" s="15" t="n">
        <f aca="false">COUNTIFS(Backlog!$B$2:$B$350,$A5,Backlog!$R$2:$R$350,"Done")</f>
        <v>0</v>
      </c>
      <c r="O5" s="23" t="n">
        <f aca="false">IFERROR(N5/B5,0)</f>
        <v>0</v>
      </c>
    </row>
    <row r="6" customFormat="false" ht="15" hidden="false" customHeight="false" outlineLevel="0" collapsed="false">
      <c r="A6" s="9" t="s">
        <v>214</v>
      </c>
      <c r="B6" s="15" t="n">
        <f aca="false">COUNTIF(Backlog!$B$2:$B$350,$A6)</f>
        <v>8</v>
      </c>
      <c r="C6" s="15" t="n">
        <f aca="false">SUMIF(Backlog!$B$2:$B$350,$A6,Backlog!$L$2:$L$350)</f>
        <v>49</v>
      </c>
      <c r="D6" s="23" t="n">
        <f aca="false">IFERROR(C6/$C$33,0)</f>
        <v>0.0216814159292035</v>
      </c>
      <c r="E6" s="16" t="n">
        <f aca="false">C6*README!$B$32</f>
        <v>29.4</v>
      </c>
      <c r="F6" s="15" t="n">
        <f aca="false">COUNTIFS(Backlog!$B$2:$B$350,$A6,Backlog!$J$2:$J$350,"Must")</f>
        <v>8</v>
      </c>
      <c r="G6" s="15" t="n">
        <f aca="false">COUNTIFS(Backlog!$B$2:$B$350,$A6,Backlog!$J$2:$J$350,"Should")</f>
        <v>0</v>
      </c>
      <c r="H6" s="15" t="n">
        <f aca="false">COUNTIFS(Backlog!$B$2:$B$350,$A6,Backlog!$J$2:$J$350,"Could")</f>
        <v>0</v>
      </c>
      <c r="I6" s="15" t="n">
        <f aca="false">COUNTIFS(Backlog!$B$2:$B$350,$A6,Backlog!$K$2:$K$350,"MVP")</f>
        <v>8</v>
      </c>
      <c r="J6" s="15" t="n">
        <f aca="false">COUNTIFS(Backlog!$B$2:$B$350,$A6,Backlog!$K$2:$K$350,"Phase 2")</f>
        <v>0</v>
      </c>
      <c r="K6" s="15" t="n">
        <f aca="false">COUNTIFS(Backlog!$B$2:$B$350,$A6,Backlog!$K$2:$K$350,"Phase 3")</f>
        <v>0</v>
      </c>
      <c r="L6" s="15" t="n">
        <f aca="false">_xlfn.MINIFS(Backlog!$M$2:$M$350,Backlog!$B$2:$B$350,$A6)</f>
        <v>5</v>
      </c>
      <c r="M6" s="15" t="n">
        <f aca="false">_xlfn.MAXIFS(Backlog!$M$2:$M$350,Backlog!$B$2:$B$350,$A6)</f>
        <v>9</v>
      </c>
      <c r="N6" s="15" t="n">
        <f aca="false">COUNTIFS(Backlog!$B$2:$B$350,$A6,Backlog!$R$2:$R$350,"Done")</f>
        <v>0</v>
      </c>
      <c r="O6" s="23" t="n">
        <f aca="false">IFERROR(N6/B6,0)</f>
        <v>0</v>
      </c>
    </row>
    <row r="7" customFormat="false" ht="15" hidden="false" customHeight="false" outlineLevel="0" collapsed="false">
      <c r="A7" s="9" t="s">
        <v>256</v>
      </c>
      <c r="B7" s="15" t="n">
        <f aca="false">COUNTIF(Backlog!$B$2:$B$350,$A7)</f>
        <v>10</v>
      </c>
      <c r="C7" s="15" t="n">
        <f aca="false">SUMIF(Backlog!$B$2:$B$350,$A7,Backlog!$L$2:$L$350)</f>
        <v>53</v>
      </c>
      <c r="D7" s="23" t="n">
        <f aca="false">IFERROR(C7/$C$33,0)</f>
        <v>0.0234513274336283</v>
      </c>
      <c r="E7" s="16" t="n">
        <f aca="false">C7*README!$B$32</f>
        <v>31.8</v>
      </c>
      <c r="F7" s="15" t="n">
        <f aca="false">COUNTIFS(Backlog!$B$2:$B$350,$A7,Backlog!$J$2:$J$350,"Must")</f>
        <v>8</v>
      </c>
      <c r="G7" s="15" t="n">
        <f aca="false">COUNTIFS(Backlog!$B$2:$B$350,$A7,Backlog!$J$2:$J$350,"Should")</f>
        <v>2</v>
      </c>
      <c r="H7" s="15" t="n">
        <f aca="false">COUNTIFS(Backlog!$B$2:$B$350,$A7,Backlog!$J$2:$J$350,"Could")</f>
        <v>0</v>
      </c>
      <c r="I7" s="15" t="n">
        <f aca="false">COUNTIFS(Backlog!$B$2:$B$350,$A7,Backlog!$K$2:$K$350,"MVP")</f>
        <v>9</v>
      </c>
      <c r="J7" s="15" t="n">
        <f aca="false">COUNTIFS(Backlog!$B$2:$B$350,$A7,Backlog!$K$2:$K$350,"Phase 2")</f>
        <v>1</v>
      </c>
      <c r="K7" s="15" t="n">
        <f aca="false">COUNTIFS(Backlog!$B$2:$B$350,$A7,Backlog!$K$2:$K$350,"Phase 3")</f>
        <v>0</v>
      </c>
      <c r="L7" s="15" t="n">
        <f aca="false">_xlfn.MINIFS(Backlog!$M$2:$M$350,Backlog!$B$2:$B$350,$A7)</f>
        <v>3</v>
      </c>
      <c r="M7" s="15" t="n">
        <f aca="false">_xlfn.MAXIFS(Backlog!$M$2:$M$350,Backlog!$B$2:$B$350,$A7)</f>
        <v>17</v>
      </c>
      <c r="N7" s="15" t="n">
        <f aca="false">COUNTIFS(Backlog!$B$2:$B$350,$A7,Backlog!$R$2:$R$350,"Done")</f>
        <v>0</v>
      </c>
      <c r="O7" s="23" t="n">
        <f aca="false">IFERROR(N7/B7,0)</f>
        <v>0</v>
      </c>
    </row>
    <row r="8" customFormat="false" ht="15" hidden="false" customHeight="false" outlineLevel="0" collapsed="false">
      <c r="A8" s="9" t="s">
        <v>314</v>
      </c>
      <c r="B8" s="15" t="n">
        <f aca="false">COUNTIF(Backlog!$B$2:$B$350,$A8)</f>
        <v>9</v>
      </c>
      <c r="C8" s="15" t="n">
        <f aca="false">SUMIF(Backlog!$B$2:$B$350,$A8,Backlog!$L$2:$L$350)</f>
        <v>42</v>
      </c>
      <c r="D8" s="23" t="n">
        <f aca="false">IFERROR(C8/$C$33,0)</f>
        <v>0.0185840707964602</v>
      </c>
      <c r="E8" s="16" t="n">
        <f aca="false">C8*README!$B$32</f>
        <v>25.2</v>
      </c>
      <c r="F8" s="15" t="n">
        <f aca="false">COUNTIFS(Backlog!$B$2:$B$350,$A8,Backlog!$J$2:$J$350,"Must")</f>
        <v>8</v>
      </c>
      <c r="G8" s="15" t="n">
        <f aca="false">COUNTIFS(Backlog!$B$2:$B$350,$A8,Backlog!$J$2:$J$350,"Should")</f>
        <v>1</v>
      </c>
      <c r="H8" s="15" t="n">
        <f aca="false">COUNTIFS(Backlog!$B$2:$B$350,$A8,Backlog!$J$2:$J$350,"Could")</f>
        <v>0</v>
      </c>
      <c r="I8" s="15" t="n">
        <f aca="false">COUNTIFS(Backlog!$B$2:$B$350,$A8,Backlog!$K$2:$K$350,"MVP")</f>
        <v>8</v>
      </c>
      <c r="J8" s="15" t="n">
        <f aca="false">COUNTIFS(Backlog!$B$2:$B$350,$A8,Backlog!$K$2:$K$350,"Phase 2")</f>
        <v>1</v>
      </c>
      <c r="K8" s="15" t="n">
        <f aca="false">COUNTIFS(Backlog!$B$2:$B$350,$A8,Backlog!$K$2:$K$350,"Phase 3")</f>
        <v>0</v>
      </c>
      <c r="L8" s="15" t="n">
        <f aca="false">_xlfn.MINIFS(Backlog!$M$2:$M$350,Backlog!$B$2:$B$350,$A8)</f>
        <v>2</v>
      </c>
      <c r="M8" s="15" t="n">
        <f aca="false">_xlfn.MAXIFS(Backlog!$M$2:$M$350,Backlog!$B$2:$B$350,$A8)</f>
        <v>15</v>
      </c>
      <c r="N8" s="15" t="n">
        <f aca="false">COUNTIFS(Backlog!$B$2:$B$350,$A8,Backlog!$R$2:$R$350,"Done")</f>
        <v>0</v>
      </c>
      <c r="O8" s="23" t="n">
        <f aca="false">IFERROR(N8/B8,0)</f>
        <v>0</v>
      </c>
    </row>
    <row r="9" customFormat="false" ht="15" hidden="false" customHeight="false" outlineLevel="0" collapsed="false">
      <c r="A9" s="9" t="s">
        <v>361</v>
      </c>
      <c r="B9" s="15" t="n">
        <f aca="false">COUNTIF(Backlog!$B$2:$B$350,$A9)</f>
        <v>11</v>
      </c>
      <c r="C9" s="15" t="n">
        <f aca="false">SUMIF(Backlog!$B$2:$B$350,$A9,Backlog!$L$2:$L$350)</f>
        <v>73</v>
      </c>
      <c r="D9" s="23" t="n">
        <f aca="false">IFERROR(C9/$C$33,0)</f>
        <v>0.0323008849557522</v>
      </c>
      <c r="E9" s="16" t="n">
        <f aca="false">C9*README!$B$32</f>
        <v>43.8</v>
      </c>
      <c r="F9" s="15" t="n">
        <f aca="false">COUNTIFS(Backlog!$B$2:$B$350,$A9,Backlog!$J$2:$J$350,"Must")</f>
        <v>9</v>
      </c>
      <c r="G9" s="15" t="n">
        <f aca="false">COUNTIFS(Backlog!$B$2:$B$350,$A9,Backlog!$J$2:$J$350,"Should")</f>
        <v>1</v>
      </c>
      <c r="H9" s="15" t="n">
        <f aca="false">COUNTIFS(Backlog!$B$2:$B$350,$A9,Backlog!$J$2:$J$350,"Could")</f>
        <v>1</v>
      </c>
      <c r="I9" s="15" t="n">
        <f aca="false">COUNTIFS(Backlog!$B$2:$B$350,$A9,Backlog!$K$2:$K$350,"MVP")</f>
        <v>10</v>
      </c>
      <c r="J9" s="15" t="n">
        <f aca="false">COUNTIFS(Backlog!$B$2:$B$350,$A9,Backlog!$K$2:$K$350,"Phase 2")</f>
        <v>1</v>
      </c>
      <c r="K9" s="15" t="n">
        <f aca="false">COUNTIFS(Backlog!$B$2:$B$350,$A9,Backlog!$K$2:$K$350,"Phase 3")</f>
        <v>0</v>
      </c>
      <c r="L9" s="15" t="n">
        <f aca="false">_xlfn.MINIFS(Backlog!$M$2:$M$350,Backlog!$B$2:$B$350,$A9)</f>
        <v>4</v>
      </c>
      <c r="M9" s="15" t="n">
        <f aca="false">_xlfn.MAXIFS(Backlog!$M$2:$M$350,Backlog!$B$2:$B$350,$A9)</f>
        <v>18</v>
      </c>
      <c r="N9" s="15" t="n">
        <f aca="false">COUNTIFS(Backlog!$B$2:$B$350,$A9,Backlog!$R$2:$R$350,"Done")</f>
        <v>0</v>
      </c>
      <c r="O9" s="23" t="n">
        <f aca="false">IFERROR(N9/B9,0)</f>
        <v>0</v>
      </c>
    </row>
    <row r="10" customFormat="false" ht="15" hidden="false" customHeight="false" outlineLevel="0" collapsed="false">
      <c r="A10" s="9" t="s">
        <v>418</v>
      </c>
      <c r="B10" s="15" t="n">
        <f aca="false">COUNTIF(Backlog!$B$2:$B$350,$A10)</f>
        <v>11</v>
      </c>
      <c r="C10" s="15" t="n">
        <f aca="false">SUMIF(Backlog!$B$2:$B$350,$A10,Backlog!$L$2:$L$350)</f>
        <v>74</v>
      </c>
      <c r="D10" s="23" t="n">
        <f aca="false">IFERROR(C10/$C$33,0)</f>
        <v>0.0327433628318584</v>
      </c>
      <c r="E10" s="16" t="n">
        <f aca="false">C10*README!$B$32</f>
        <v>44.4</v>
      </c>
      <c r="F10" s="15" t="n">
        <f aca="false">COUNTIFS(Backlog!$B$2:$B$350,$A10,Backlog!$J$2:$J$350,"Must")</f>
        <v>7</v>
      </c>
      <c r="G10" s="15" t="n">
        <f aca="false">COUNTIFS(Backlog!$B$2:$B$350,$A10,Backlog!$J$2:$J$350,"Should")</f>
        <v>3</v>
      </c>
      <c r="H10" s="15" t="n">
        <f aca="false">COUNTIFS(Backlog!$B$2:$B$350,$A10,Backlog!$J$2:$J$350,"Could")</f>
        <v>1</v>
      </c>
      <c r="I10" s="15" t="n">
        <f aca="false">COUNTIFS(Backlog!$B$2:$B$350,$A10,Backlog!$K$2:$K$350,"MVP")</f>
        <v>9</v>
      </c>
      <c r="J10" s="15" t="n">
        <f aca="false">COUNTIFS(Backlog!$B$2:$B$350,$A10,Backlog!$K$2:$K$350,"Phase 2")</f>
        <v>1</v>
      </c>
      <c r="K10" s="15" t="n">
        <f aca="false">COUNTIFS(Backlog!$B$2:$B$350,$A10,Backlog!$K$2:$K$350,"Phase 3")</f>
        <v>1</v>
      </c>
      <c r="L10" s="15" t="n">
        <f aca="false">_xlfn.MINIFS(Backlog!$M$2:$M$350,Backlog!$B$2:$B$350,$A10)</f>
        <v>7</v>
      </c>
      <c r="M10" s="15" t="n">
        <f aca="false">_xlfn.MAXIFS(Backlog!$M$2:$M$350,Backlog!$B$2:$B$350,$A10)</f>
        <v>20</v>
      </c>
      <c r="N10" s="15" t="n">
        <f aca="false">COUNTIFS(Backlog!$B$2:$B$350,$A10,Backlog!$R$2:$R$350,"Done")</f>
        <v>0</v>
      </c>
      <c r="O10" s="23" t="n">
        <f aca="false">IFERROR(N10/B10,0)</f>
        <v>0</v>
      </c>
    </row>
    <row r="11" customFormat="false" ht="15" hidden="false" customHeight="false" outlineLevel="0" collapsed="false">
      <c r="A11" s="9" t="s">
        <v>480</v>
      </c>
      <c r="B11" s="15" t="n">
        <f aca="false">COUNTIF(Backlog!$B$2:$B$350,$A11)</f>
        <v>9</v>
      </c>
      <c r="C11" s="15" t="n">
        <f aca="false">SUMIF(Backlog!$B$2:$B$350,$A11,Backlog!$L$2:$L$350)</f>
        <v>52</v>
      </c>
      <c r="D11" s="23" t="n">
        <f aca="false">IFERROR(C11/$C$33,0)</f>
        <v>0.0230088495575221</v>
      </c>
      <c r="E11" s="16" t="n">
        <f aca="false">C11*README!$B$32</f>
        <v>31.2</v>
      </c>
      <c r="F11" s="15" t="n">
        <f aca="false">COUNTIFS(Backlog!$B$2:$B$350,$A11,Backlog!$J$2:$J$350,"Must")</f>
        <v>8</v>
      </c>
      <c r="G11" s="15" t="n">
        <f aca="false">COUNTIFS(Backlog!$B$2:$B$350,$A11,Backlog!$J$2:$J$350,"Should")</f>
        <v>1</v>
      </c>
      <c r="H11" s="15" t="n">
        <f aca="false">COUNTIFS(Backlog!$B$2:$B$350,$A11,Backlog!$J$2:$J$350,"Could")</f>
        <v>0</v>
      </c>
      <c r="I11" s="15" t="n">
        <f aca="false">COUNTIFS(Backlog!$B$2:$B$350,$A11,Backlog!$K$2:$K$350,"MVP")</f>
        <v>9</v>
      </c>
      <c r="J11" s="15" t="n">
        <f aca="false">COUNTIFS(Backlog!$B$2:$B$350,$A11,Backlog!$K$2:$K$350,"Phase 2")</f>
        <v>0</v>
      </c>
      <c r="K11" s="15" t="n">
        <f aca="false">COUNTIFS(Backlog!$B$2:$B$350,$A11,Backlog!$K$2:$K$350,"Phase 3")</f>
        <v>0</v>
      </c>
      <c r="L11" s="15" t="n">
        <f aca="false">_xlfn.MINIFS(Backlog!$M$2:$M$350,Backlog!$B$2:$B$350,$A11)</f>
        <v>6</v>
      </c>
      <c r="M11" s="15" t="n">
        <f aca="false">_xlfn.MAXIFS(Backlog!$M$2:$M$350,Backlog!$B$2:$B$350,$A11)</f>
        <v>16</v>
      </c>
      <c r="N11" s="15" t="n">
        <f aca="false">COUNTIFS(Backlog!$B$2:$B$350,$A11,Backlog!$R$2:$R$350,"Done")</f>
        <v>0</v>
      </c>
      <c r="O11" s="23" t="n">
        <f aca="false">IFERROR(N11/B11,0)</f>
        <v>0</v>
      </c>
    </row>
    <row r="12" customFormat="false" ht="15" hidden="false" customHeight="false" outlineLevel="0" collapsed="false">
      <c r="A12" s="9" t="s">
        <v>533</v>
      </c>
      <c r="B12" s="15" t="n">
        <f aca="false">COUNTIF(Backlog!$B$2:$B$350,$A12)</f>
        <v>10</v>
      </c>
      <c r="C12" s="15" t="n">
        <f aca="false">SUMIF(Backlog!$B$2:$B$350,$A12,Backlog!$L$2:$L$350)</f>
        <v>65</v>
      </c>
      <c r="D12" s="23" t="n">
        <f aca="false">IFERROR(C12/$C$33,0)</f>
        <v>0.0287610619469027</v>
      </c>
      <c r="E12" s="16" t="n">
        <f aca="false">C12*README!$B$32</f>
        <v>39</v>
      </c>
      <c r="F12" s="15" t="n">
        <f aca="false">COUNTIFS(Backlog!$B$2:$B$350,$A12,Backlog!$J$2:$J$350,"Must")</f>
        <v>6</v>
      </c>
      <c r="G12" s="15" t="n">
        <f aca="false">COUNTIFS(Backlog!$B$2:$B$350,$A12,Backlog!$J$2:$J$350,"Should")</f>
        <v>2</v>
      </c>
      <c r="H12" s="15" t="n">
        <f aca="false">COUNTIFS(Backlog!$B$2:$B$350,$A12,Backlog!$J$2:$J$350,"Could")</f>
        <v>2</v>
      </c>
      <c r="I12" s="15" t="n">
        <f aca="false">COUNTIFS(Backlog!$B$2:$B$350,$A12,Backlog!$K$2:$K$350,"MVP")</f>
        <v>7</v>
      </c>
      <c r="J12" s="15" t="n">
        <f aca="false">COUNTIFS(Backlog!$B$2:$B$350,$A12,Backlog!$K$2:$K$350,"Phase 2")</f>
        <v>2</v>
      </c>
      <c r="K12" s="15" t="n">
        <f aca="false">COUNTIFS(Backlog!$B$2:$B$350,$A12,Backlog!$K$2:$K$350,"Phase 3")</f>
        <v>1</v>
      </c>
      <c r="L12" s="15" t="n">
        <f aca="false">_xlfn.MINIFS(Backlog!$M$2:$M$350,Backlog!$B$2:$B$350,$A12)</f>
        <v>14</v>
      </c>
      <c r="M12" s="15" t="n">
        <f aca="false">_xlfn.MAXIFS(Backlog!$M$2:$M$350,Backlog!$B$2:$B$350,$A12)</f>
        <v>21</v>
      </c>
      <c r="N12" s="15" t="n">
        <f aca="false">COUNTIFS(Backlog!$B$2:$B$350,$A12,Backlog!$R$2:$R$350,"Done")</f>
        <v>0</v>
      </c>
      <c r="O12" s="23" t="n">
        <f aca="false">IFERROR(N12/B12,0)</f>
        <v>0</v>
      </c>
    </row>
    <row r="13" customFormat="false" ht="15" hidden="false" customHeight="false" outlineLevel="0" collapsed="false">
      <c r="A13" s="9" t="s">
        <v>589</v>
      </c>
      <c r="B13" s="15" t="n">
        <f aca="false">COUNTIF(Backlog!$B$2:$B$350,$A13)</f>
        <v>12</v>
      </c>
      <c r="C13" s="15" t="n">
        <f aca="false">SUMIF(Backlog!$B$2:$B$350,$A13,Backlog!$L$2:$L$350)</f>
        <v>83</v>
      </c>
      <c r="D13" s="23" t="n">
        <f aca="false">IFERROR(C13/$C$33,0)</f>
        <v>0.0367256637168142</v>
      </c>
      <c r="E13" s="16" t="n">
        <f aca="false">C13*README!$B$32</f>
        <v>49.8</v>
      </c>
      <c r="F13" s="15" t="n">
        <f aca="false">COUNTIFS(Backlog!$B$2:$B$350,$A13,Backlog!$J$2:$J$350,"Must")</f>
        <v>10</v>
      </c>
      <c r="G13" s="15" t="n">
        <f aca="false">COUNTIFS(Backlog!$B$2:$B$350,$A13,Backlog!$J$2:$J$350,"Should")</f>
        <v>1</v>
      </c>
      <c r="H13" s="15" t="n">
        <f aca="false">COUNTIFS(Backlog!$B$2:$B$350,$A13,Backlog!$J$2:$J$350,"Could")</f>
        <v>1</v>
      </c>
      <c r="I13" s="15" t="n">
        <f aca="false">COUNTIFS(Backlog!$B$2:$B$350,$A13,Backlog!$K$2:$K$350,"MVP")</f>
        <v>11</v>
      </c>
      <c r="J13" s="15" t="n">
        <f aca="false">COUNTIFS(Backlog!$B$2:$B$350,$A13,Backlog!$K$2:$K$350,"Phase 2")</f>
        <v>1</v>
      </c>
      <c r="K13" s="15" t="n">
        <f aca="false">COUNTIFS(Backlog!$B$2:$B$350,$A13,Backlog!$K$2:$K$350,"Phase 3")</f>
        <v>0</v>
      </c>
      <c r="L13" s="15" t="n">
        <f aca="false">_xlfn.MINIFS(Backlog!$M$2:$M$350,Backlog!$B$2:$B$350,$A13)</f>
        <v>7</v>
      </c>
      <c r="M13" s="15" t="n">
        <f aca="false">_xlfn.MAXIFS(Backlog!$M$2:$M$350,Backlog!$B$2:$B$350,$A13)</f>
        <v>19</v>
      </c>
      <c r="N13" s="15" t="n">
        <f aca="false">COUNTIFS(Backlog!$B$2:$B$350,$A13,Backlog!$R$2:$R$350,"Done")</f>
        <v>0</v>
      </c>
      <c r="O13" s="23" t="n">
        <f aca="false">IFERROR(N13/B13,0)</f>
        <v>0</v>
      </c>
    </row>
    <row r="14" customFormat="false" ht="15" hidden="false" customHeight="false" outlineLevel="0" collapsed="false">
      <c r="A14" s="9" t="s">
        <v>652</v>
      </c>
      <c r="B14" s="15" t="n">
        <f aca="false">COUNTIF(Backlog!$B$2:$B$350,$A14)</f>
        <v>19</v>
      </c>
      <c r="C14" s="15" t="n">
        <f aca="false">SUMIF(Backlog!$B$2:$B$350,$A14,Backlog!$L$2:$L$350)</f>
        <v>111</v>
      </c>
      <c r="D14" s="23" t="n">
        <f aca="false">IFERROR(C14/$C$33,0)</f>
        <v>0.0491150442477876</v>
      </c>
      <c r="E14" s="16" t="n">
        <f aca="false">C14*README!$B$32</f>
        <v>66.6</v>
      </c>
      <c r="F14" s="15" t="n">
        <f aca="false">COUNTIFS(Backlog!$B$2:$B$350,$A14,Backlog!$J$2:$J$350,"Must")</f>
        <v>16</v>
      </c>
      <c r="G14" s="15" t="n">
        <f aca="false">COUNTIFS(Backlog!$B$2:$B$350,$A14,Backlog!$J$2:$J$350,"Should")</f>
        <v>3</v>
      </c>
      <c r="H14" s="15" t="n">
        <f aca="false">COUNTIFS(Backlog!$B$2:$B$350,$A14,Backlog!$J$2:$J$350,"Could")</f>
        <v>0</v>
      </c>
      <c r="I14" s="15" t="n">
        <f aca="false">COUNTIFS(Backlog!$B$2:$B$350,$A14,Backlog!$K$2:$K$350,"MVP")</f>
        <v>19</v>
      </c>
      <c r="J14" s="15" t="n">
        <f aca="false">COUNTIFS(Backlog!$B$2:$B$350,$A14,Backlog!$K$2:$K$350,"Phase 2")</f>
        <v>0</v>
      </c>
      <c r="K14" s="15" t="n">
        <f aca="false">COUNTIFS(Backlog!$B$2:$B$350,$A14,Backlog!$K$2:$K$350,"Phase 3")</f>
        <v>0</v>
      </c>
      <c r="L14" s="15" t="n">
        <f aca="false">_xlfn.MINIFS(Backlog!$M$2:$M$350,Backlog!$B$2:$B$350,$A14)</f>
        <v>10</v>
      </c>
      <c r="M14" s="15" t="n">
        <f aca="false">_xlfn.MAXIFS(Backlog!$M$2:$M$350,Backlog!$B$2:$B$350,$A14)</f>
        <v>15</v>
      </c>
      <c r="N14" s="15" t="n">
        <f aca="false">COUNTIFS(Backlog!$B$2:$B$350,$A14,Backlog!$R$2:$R$350,"Done")</f>
        <v>0</v>
      </c>
      <c r="O14" s="23" t="n">
        <f aca="false">IFERROR(N14/B14,0)</f>
        <v>0</v>
      </c>
    </row>
    <row r="15" customFormat="false" ht="15" hidden="false" customHeight="false" outlineLevel="0" collapsed="false">
      <c r="A15" s="9" t="s">
        <v>757</v>
      </c>
      <c r="B15" s="15" t="n">
        <f aca="false">COUNTIF(Backlog!$B$2:$B$350,$A15)</f>
        <v>21</v>
      </c>
      <c r="C15" s="15" t="n">
        <f aca="false">SUMIF(Backlog!$B$2:$B$350,$A15,Backlog!$L$2:$L$350)</f>
        <v>150</v>
      </c>
      <c r="D15" s="23" t="n">
        <f aca="false">IFERROR(C15/$C$33,0)</f>
        <v>0.0663716814159292</v>
      </c>
      <c r="E15" s="16" t="n">
        <f aca="false">C15*README!$B$32</f>
        <v>90</v>
      </c>
      <c r="F15" s="15" t="n">
        <f aca="false">COUNTIFS(Backlog!$B$2:$B$350,$A15,Backlog!$J$2:$J$350,"Must")</f>
        <v>7</v>
      </c>
      <c r="G15" s="15" t="n">
        <f aca="false">COUNTIFS(Backlog!$B$2:$B$350,$A15,Backlog!$J$2:$J$350,"Should")</f>
        <v>9</v>
      </c>
      <c r="H15" s="15" t="n">
        <f aca="false">COUNTIFS(Backlog!$B$2:$B$350,$A15,Backlog!$J$2:$J$350,"Could")</f>
        <v>5</v>
      </c>
      <c r="I15" s="15" t="n">
        <f aca="false">COUNTIFS(Backlog!$B$2:$B$350,$A15,Backlog!$K$2:$K$350,"MVP")</f>
        <v>9</v>
      </c>
      <c r="J15" s="15" t="n">
        <f aca="false">COUNTIFS(Backlog!$B$2:$B$350,$A15,Backlog!$K$2:$K$350,"Phase 2")</f>
        <v>11</v>
      </c>
      <c r="K15" s="15" t="n">
        <f aca="false">COUNTIFS(Backlog!$B$2:$B$350,$A15,Backlog!$K$2:$K$350,"Phase 3")</f>
        <v>1</v>
      </c>
      <c r="L15" s="15" t="n">
        <f aca="false">_xlfn.MINIFS(Backlog!$M$2:$M$350,Backlog!$B$2:$B$350,$A15)</f>
        <v>14</v>
      </c>
      <c r="M15" s="15" t="n">
        <f aca="false">_xlfn.MAXIFS(Backlog!$M$2:$M$350,Backlog!$B$2:$B$350,$A15)</f>
        <v>22</v>
      </c>
      <c r="N15" s="15" t="n">
        <f aca="false">COUNTIFS(Backlog!$B$2:$B$350,$A15,Backlog!$R$2:$R$350,"Done")</f>
        <v>0</v>
      </c>
      <c r="O15" s="23" t="n">
        <f aca="false">IFERROR(N15/B15,0)</f>
        <v>0</v>
      </c>
    </row>
    <row r="16" customFormat="false" ht="15" hidden="false" customHeight="false" outlineLevel="0" collapsed="false">
      <c r="A16" s="9" t="s">
        <v>875</v>
      </c>
      <c r="B16" s="15" t="n">
        <f aca="false">COUNTIF(Backlog!$B$2:$B$350,$A16)</f>
        <v>8</v>
      </c>
      <c r="C16" s="15" t="n">
        <f aca="false">SUMIF(Backlog!$B$2:$B$350,$A16,Backlog!$L$2:$L$350)</f>
        <v>44</v>
      </c>
      <c r="D16" s="23" t="n">
        <f aca="false">IFERROR(C16/$C$33,0)</f>
        <v>0.0194690265486726</v>
      </c>
      <c r="E16" s="16" t="n">
        <f aca="false">C16*README!$B$32</f>
        <v>26.4</v>
      </c>
      <c r="F16" s="15" t="n">
        <f aca="false">COUNTIFS(Backlog!$B$2:$B$350,$A16,Backlog!$J$2:$J$350,"Must")</f>
        <v>5</v>
      </c>
      <c r="G16" s="15" t="n">
        <f aca="false">COUNTIFS(Backlog!$B$2:$B$350,$A16,Backlog!$J$2:$J$350,"Should")</f>
        <v>3</v>
      </c>
      <c r="H16" s="15" t="n">
        <f aca="false">COUNTIFS(Backlog!$B$2:$B$350,$A16,Backlog!$J$2:$J$350,"Could")</f>
        <v>0</v>
      </c>
      <c r="I16" s="15" t="n">
        <f aca="false">COUNTIFS(Backlog!$B$2:$B$350,$A16,Backlog!$K$2:$K$350,"MVP")</f>
        <v>8</v>
      </c>
      <c r="J16" s="15" t="n">
        <f aca="false">COUNTIFS(Backlog!$B$2:$B$350,$A16,Backlog!$K$2:$K$350,"Phase 2")</f>
        <v>0</v>
      </c>
      <c r="K16" s="15" t="n">
        <f aca="false">COUNTIFS(Backlog!$B$2:$B$350,$A16,Backlog!$K$2:$K$350,"Phase 3")</f>
        <v>0</v>
      </c>
      <c r="L16" s="15" t="n">
        <f aca="false">_xlfn.MINIFS(Backlog!$M$2:$M$350,Backlog!$B$2:$B$350,$A16)</f>
        <v>10</v>
      </c>
      <c r="M16" s="15" t="n">
        <f aca="false">_xlfn.MAXIFS(Backlog!$M$2:$M$350,Backlog!$B$2:$B$350,$A16)</f>
        <v>15</v>
      </c>
      <c r="N16" s="15" t="n">
        <f aca="false">COUNTIFS(Backlog!$B$2:$B$350,$A16,Backlog!$R$2:$R$350,"Done")</f>
        <v>0</v>
      </c>
      <c r="O16" s="23" t="n">
        <f aca="false">IFERROR(N16/B16,0)</f>
        <v>0</v>
      </c>
    </row>
    <row r="17" customFormat="false" ht="15" hidden="false" customHeight="false" outlineLevel="0" collapsed="false">
      <c r="A17" s="9" t="s">
        <v>915</v>
      </c>
      <c r="B17" s="15" t="n">
        <f aca="false">COUNTIF(Backlog!$B$2:$B$350,$A17)</f>
        <v>12</v>
      </c>
      <c r="C17" s="15" t="n">
        <f aca="false">SUMIF(Backlog!$B$2:$B$350,$A17,Backlog!$L$2:$L$350)</f>
        <v>83</v>
      </c>
      <c r="D17" s="23" t="n">
        <f aca="false">IFERROR(C17/$C$33,0)</f>
        <v>0.0367256637168142</v>
      </c>
      <c r="E17" s="16" t="n">
        <f aca="false">C17*README!$B$32</f>
        <v>49.8</v>
      </c>
      <c r="F17" s="15" t="n">
        <f aca="false">COUNTIFS(Backlog!$B$2:$B$350,$A17,Backlog!$J$2:$J$350,"Must")</f>
        <v>10</v>
      </c>
      <c r="G17" s="15" t="n">
        <f aca="false">COUNTIFS(Backlog!$B$2:$B$350,$A17,Backlog!$J$2:$J$350,"Should")</f>
        <v>1</v>
      </c>
      <c r="H17" s="15" t="n">
        <f aca="false">COUNTIFS(Backlog!$B$2:$B$350,$A17,Backlog!$J$2:$J$350,"Could")</f>
        <v>1</v>
      </c>
      <c r="I17" s="15" t="n">
        <f aca="false">COUNTIFS(Backlog!$B$2:$B$350,$A17,Backlog!$K$2:$K$350,"MVP")</f>
        <v>10</v>
      </c>
      <c r="J17" s="15" t="n">
        <f aca="false">COUNTIFS(Backlog!$B$2:$B$350,$A17,Backlog!$K$2:$K$350,"Phase 2")</f>
        <v>2</v>
      </c>
      <c r="K17" s="15" t="n">
        <f aca="false">COUNTIFS(Backlog!$B$2:$B$350,$A17,Backlog!$K$2:$K$350,"Phase 3")</f>
        <v>0</v>
      </c>
      <c r="L17" s="15" t="n">
        <f aca="false">_xlfn.MINIFS(Backlog!$M$2:$M$350,Backlog!$B$2:$B$350,$A17)</f>
        <v>12</v>
      </c>
      <c r="M17" s="15" t="n">
        <f aca="false">_xlfn.MAXIFS(Backlog!$M$2:$M$350,Backlog!$B$2:$B$350,$A17)</f>
        <v>18</v>
      </c>
      <c r="N17" s="15" t="n">
        <f aca="false">COUNTIFS(Backlog!$B$2:$B$350,$A17,Backlog!$R$2:$R$350,"Done")</f>
        <v>0</v>
      </c>
      <c r="O17" s="23" t="n">
        <f aca="false">IFERROR(N17/B17,0)</f>
        <v>0</v>
      </c>
    </row>
    <row r="18" customFormat="false" ht="15" hidden="false" customHeight="false" outlineLevel="0" collapsed="false">
      <c r="A18" s="9" t="s">
        <v>980</v>
      </c>
      <c r="B18" s="15" t="n">
        <f aca="false">COUNTIF(Backlog!$B$2:$B$350,$A18)</f>
        <v>15</v>
      </c>
      <c r="C18" s="15" t="n">
        <f aca="false">SUMIF(Backlog!$B$2:$B$350,$A18,Backlog!$L$2:$L$350)</f>
        <v>115</v>
      </c>
      <c r="D18" s="23" t="n">
        <f aca="false">IFERROR(C18/$C$33,0)</f>
        <v>0.0508849557522124</v>
      </c>
      <c r="E18" s="16" t="n">
        <f aca="false">C18*README!$B$32</f>
        <v>69</v>
      </c>
      <c r="F18" s="15" t="n">
        <f aca="false">COUNTIFS(Backlog!$B$2:$B$350,$A18,Backlog!$J$2:$J$350,"Must")</f>
        <v>12</v>
      </c>
      <c r="G18" s="15" t="n">
        <f aca="false">COUNTIFS(Backlog!$B$2:$B$350,$A18,Backlog!$J$2:$J$350,"Should")</f>
        <v>3</v>
      </c>
      <c r="H18" s="15" t="n">
        <f aca="false">COUNTIFS(Backlog!$B$2:$B$350,$A18,Backlog!$J$2:$J$350,"Could")</f>
        <v>0</v>
      </c>
      <c r="I18" s="15" t="n">
        <f aca="false">COUNTIFS(Backlog!$B$2:$B$350,$A18,Backlog!$K$2:$K$350,"MVP")</f>
        <v>14</v>
      </c>
      <c r="J18" s="15" t="n">
        <f aca="false">COUNTIFS(Backlog!$B$2:$B$350,$A18,Backlog!$K$2:$K$350,"Phase 2")</f>
        <v>1</v>
      </c>
      <c r="K18" s="15" t="n">
        <f aca="false">COUNTIFS(Backlog!$B$2:$B$350,$A18,Backlog!$K$2:$K$350,"Phase 3")</f>
        <v>0</v>
      </c>
      <c r="L18" s="15" t="n">
        <f aca="false">_xlfn.MINIFS(Backlog!$M$2:$M$350,Backlog!$B$2:$B$350,$A18)</f>
        <v>10</v>
      </c>
      <c r="M18" s="15" t="n">
        <f aca="false">_xlfn.MAXIFS(Backlog!$M$2:$M$350,Backlog!$B$2:$B$350,$A18)</f>
        <v>19</v>
      </c>
      <c r="N18" s="15" t="n">
        <f aca="false">COUNTIFS(Backlog!$B$2:$B$350,$A18,Backlog!$R$2:$R$350,"Done")</f>
        <v>0</v>
      </c>
      <c r="O18" s="23" t="n">
        <f aca="false">IFERROR(N18/B18,0)</f>
        <v>0</v>
      </c>
    </row>
    <row r="19" customFormat="false" ht="15" hidden="false" customHeight="false" outlineLevel="0" collapsed="false">
      <c r="A19" s="9" t="s">
        <v>1059</v>
      </c>
      <c r="B19" s="15" t="n">
        <f aca="false">COUNTIF(Backlog!$B$2:$B$350,$A19)</f>
        <v>11</v>
      </c>
      <c r="C19" s="15" t="n">
        <f aca="false">SUMIF(Backlog!$B$2:$B$350,$A19,Backlog!$L$2:$L$350)</f>
        <v>70</v>
      </c>
      <c r="D19" s="23" t="n">
        <f aca="false">IFERROR(C19/$C$33,0)</f>
        <v>0.0309734513274336</v>
      </c>
      <c r="E19" s="16" t="n">
        <f aca="false">C19*README!$B$32</f>
        <v>42</v>
      </c>
      <c r="F19" s="15" t="n">
        <f aca="false">COUNTIFS(Backlog!$B$2:$B$350,$A19,Backlog!$J$2:$J$350,"Must")</f>
        <v>6</v>
      </c>
      <c r="G19" s="15" t="n">
        <f aca="false">COUNTIFS(Backlog!$B$2:$B$350,$A19,Backlog!$J$2:$J$350,"Should")</f>
        <v>3</v>
      </c>
      <c r="H19" s="15" t="n">
        <f aca="false">COUNTIFS(Backlog!$B$2:$B$350,$A19,Backlog!$J$2:$J$350,"Could")</f>
        <v>2</v>
      </c>
      <c r="I19" s="15" t="n">
        <f aca="false">COUNTIFS(Backlog!$B$2:$B$350,$A19,Backlog!$K$2:$K$350,"MVP")</f>
        <v>5</v>
      </c>
      <c r="J19" s="15" t="n">
        <f aca="false">COUNTIFS(Backlog!$B$2:$B$350,$A19,Backlog!$K$2:$K$350,"Phase 2")</f>
        <v>5</v>
      </c>
      <c r="K19" s="15" t="n">
        <f aca="false">COUNTIFS(Backlog!$B$2:$B$350,$A19,Backlog!$K$2:$K$350,"Phase 3")</f>
        <v>1</v>
      </c>
      <c r="L19" s="15" t="n">
        <f aca="false">_xlfn.MINIFS(Backlog!$M$2:$M$350,Backlog!$B$2:$B$350,$A19)</f>
        <v>16</v>
      </c>
      <c r="M19" s="15" t="n">
        <f aca="false">_xlfn.MAXIFS(Backlog!$M$2:$M$350,Backlog!$B$2:$B$350,$A19)</f>
        <v>21</v>
      </c>
      <c r="N19" s="15" t="n">
        <f aca="false">COUNTIFS(Backlog!$B$2:$B$350,$A19,Backlog!$R$2:$R$350,"Done")</f>
        <v>0</v>
      </c>
      <c r="O19" s="23" t="n">
        <f aca="false">IFERROR(N19/B19,0)</f>
        <v>0</v>
      </c>
    </row>
    <row r="20" customFormat="false" ht="15" hidden="false" customHeight="false" outlineLevel="0" collapsed="false">
      <c r="A20" s="9" t="s">
        <v>1122</v>
      </c>
      <c r="B20" s="15" t="n">
        <f aca="false">COUNTIF(Backlog!$B$2:$B$350,$A20)</f>
        <v>13</v>
      </c>
      <c r="C20" s="15" t="n">
        <f aca="false">SUMIF(Backlog!$B$2:$B$350,$A20,Backlog!$L$2:$L$350)</f>
        <v>99</v>
      </c>
      <c r="D20" s="23" t="n">
        <f aca="false">IFERROR(C20/$C$33,0)</f>
        <v>0.0438053097345133</v>
      </c>
      <c r="E20" s="16" t="n">
        <f aca="false">C20*README!$B$32</f>
        <v>59.4</v>
      </c>
      <c r="F20" s="15" t="n">
        <f aca="false">COUNTIFS(Backlog!$B$2:$B$350,$A20,Backlog!$J$2:$J$350,"Must")</f>
        <v>13</v>
      </c>
      <c r="G20" s="15" t="n">
        <f aca="false">COUNTIFS(Backlog!$B$2:$B$350,$A20,Backlog!$J$2:$J$350,"Should")</f>
        <v>0</v>
      </c>
      <c r="H20" s="15" t="n">
        <f aca="false">COUNTIFS(Backlog!$B$2:$B$350,$A20,Backlog!$J$2:$J$350,"Could")</f>
        <v>0</v>
      </c>
      <c r="I20" s="15" t="n">
        <f aca="false">COUNTIFS(Backlog!$B$2:$B$350,$A20,Backlog!$K$2:$K$350,"MVP")</f>
        <v>13</v>
      </c>
      <c r="J20" s="15" t="n">
        <f aca="false">COUNTIFS(Backlog!$B$2:$B$350,$A20,Backlog!$K$2:$K$350,"Phase 2")</f>
        <v>0</v>
      </c>
      <c r="K20" s="15" t="n">
        <f aca="false">COUNTIFS(Backlog!$B$2:$B$350,$A20,Backlog!$K$2:$K$350,"Phase 3")</f>
        <v>0</v>
      </c>
      <c r="L20" s="15" t="n">
        <f aca="false">_xlfn.MINIFS(Backlog!$M$2:$M$350,Backlog!$B$2:$B$350,$A20)</f>
        <v>9</v>
      </c>
      <c r="M20" s="15" t="n">
        <f aca="false">_xlfn.MAXIFS(Backlog!$M$2:$M$350,Backlog!$B$2:$B$350,$A20)</f>
        <v>16</v>
      </c>
      <c r="N20" s="15" t="n">
        <f aca="false">COUNTIFS(Backlog!$B$2:$B$350,$A20,Backlog!$R$2:$R$350,"Done")</f>
        <v>0</v>
      </c>
      <c r="O20" s="23" t="n">
        <f aca="false">IFERROR(N20/B20,0)</f>
        <v>0</v>
      </c>
    </row>
    <row r="21" customFormat="false" ht="15" hidden="false" customHeight="false" outlineLevel="0" collapsed="false">
      <c r="A21" s="9" t="s">
        <v>1193</v>
      </c>
      <c r="B21" s="15" t="n">
        <f aca="false">COUNTIF(Backlog!$B$2:$B$350,$A21)</f>
        <v>20</v>
      </c>
      <c r="C21" s="15" t="n">
        <f aca="false">SUMIF(Backlog!$B$2:$B$350,$A21,Backlog!$L$2:$L$350)</f>
        <v>133</v>
      </c>
      <c r="D21" s="23" t="n">
        <f aca="false">IFERROR(C21/$C$33,0)</f>
        <v>0.0588495575221239</v>
      </c>
      <c r="E21" s="16" t="n">
        <f aca="false">C21*README!$B$32</f>
        <v>79.8</v>
      </c>
      <c r="F21" s="15" t="n">
        <f aca="false">COUNTIFS(Backlog!$B$2:$B$350,$A21,Backlog!$J$2:$J$350,"Must")</f>
        <v>12</v>
      </c>
      <c r="G21" s="15" t="n">
        <f aca="false">COUNTIFS(Backlog!$B$2:$B$350,$A21,Backlog!$J$2:$J$350,"Should")</f>
        <v>5</v>
      </c>
      <c r="H21" s="15" t="n">
        <f aca="false">COUNTIFS(Backlog!$B$2:$B$350,$A21,Backlog!$J$2:$J$350,"Could")</f>
        <v>3</v>
      </c>
      <c r="I21" s="15" t="n">
        <f aca="false">COUNTIFS(Backlog!$B$2:$B$350,$A21,Backlog!$K$2:$K$350,"MVP")</f>
        <v>15</v>
      </c>
      <c r="J21" s="15" t="n">
        <f aca="false">COUNTIFS(Backlog!$B$2:$B$350,$A21,Backlog!$K$2:$K$350,"Phase 2")</f>
        <v>3</v>
      </c>
      <c r="K21" s="15" t="n">
        <f aca="false">COUNTIFS(Backlog!$B$2:$B$350,$A21,Backlog!$K$2:$K$350,"Phase 3")</f>
        <v>2</v>
      </c>
      <c r="L21" s="15" t="n">
        <f aca="false">_xlfn.MINIFS(Backlog!$M$2:$M$350,Backlog!$B$2:$B$350,$A21)</f>
        <v>13</v>
      </c>
      <c r="M21" s="15" t="n">
        <f aca="false">_xlfn.MAXIFS(Backlog!$M$2:$M$350,Backlog!$B$2:$B$350,$A21)</f>
        <v>22</v>
      </c>
      <c r="N21" s="15" t="n">
        <f aca="false">COUNTIFS(Backlog!$B$2:$B$350,$A21,Backlog!$R$2:$R$350,"Done")</f>
        <v>0</v>
      </c>
      <c r="O21" s="23" t="n">
        <f aca="false">IFERROR(N21/B21,0)</f>
        <v>0</v>
      </c>
    </row>
    <row r="22" customFormat="false" ht="15" hidden="false" customHeight="false" outlineLevel="0" collapsed="false">
      <c r="A22" s="9" t="s">
        <v>1306</v>
      </c>
      <c r="B22" s="15" t="n">
        <f aca="false">COUNTIF(Backlog!$B$2:$B$350,$A22)</f>
        <v>7</v>
      </c>
      <c r="C22" s="15" t="n">
        <f aca="false">SUMIF(Backlog!$B$2:$B$350,$A22,Backlog!$L$2:$L$350)</f>
        <v>56</v>
      </c>
      <c r="D22" s="23" t="n">
        <f aca="false">IFERROR(C22/$C$33,0)</f>
        <v>0.0247787610619469</v>
      </c>
      <c r="E22" s="16" t="n">
        <f aca="false">C22*README!$B$32</f>
        <v>33.6</v>
      </c>
      <c r="F22" s="15" t="n">
        <f aca="false">COUNTIFS(Backlog!$B$2:$B$350,$A22,Backlog!$J$2:$J$350,"Must")</f>
        <v>1</v>
      </c>
      <c r="G22" s="15" t="n">
        <f aca="false">COUNTIFS(Backlog!$B$2:$B$350,$A22,Backlog!$J$2:$J$350,"Should")</f>
        <v>6</v>
      </c>
      <c r="H22" s="15" t="n">
        <f aca="false">COUNTIFS(Backlog!$B$2:$B$350,$A22,Backlog!$J$2:$J$350,"Could")</f>
        <v>0</v>
      </c>
      <c r="I22" s="15" t="n">
        <f aca="false">COUNTIFS(Backlog!$B$2:$B$350,$A22,Backlog!$K$2:$K$350,"MVP")</f>
        <v>0</v>
      </c>
      <c r="J22" s="15" t="n">
        <f aca="false">COUNTIFS(Backlog!$B$2:$B$350,$A22,Backlog!$K$2:$K$350,"Phase 2")</f>
        <v>7</v>
      </c>
      <c r="K22" s="15" t="n">
        <f aca="false">COUNTIFS(Backlog!$B$2:$B$350,$A22,Backlog!$K$2:$K$350,"Phase 3")</f>
        <v>0</v>
      </c>
      <c r="L22" s="15" t="n">
        <f aca="false">_xlfn.MINIFS(Backlog!$M$2:$M$350,Backlog!$B$2:$B$350,$A22)</f>
        <v>18</v>
      </c>
      <c r="M22" s="15" t="n">
        <f aca="false">_xlfn.MAXIFS(Backlog!$M$2:$M$350,Backlog!$B$2:$B$350,$A22)</f>
        <v>20</v>
      </c>
      <c r="N22" s="15" t="n">
        <f aca="false">COUNTIFS(Backlog!$B$2:$B$350,$A22,Backlog!$R$2:$R$350,"Done")</f>
        <v>0</v>
      </c>
      <c r="O22" s="23" t="n">
        <f aca="false">IFERROR(N22/B22,0)</f>
        <v>0</v>
      </c>
    </row>
    <row r="23" customFormat="false" ht="15" hidden="false" customHeight="false" outlineLevel="0" collapsed="false">
      <c r="A23" s="9" t="s">
        <v>1346</v>
      </c>
      <c r="B23" s="15" t="n">
        <f aca="false">COUNTIF(Backlog!$B$2:$B$350,$A23)</f>
        <v>10</v>
      </c>
      <c r="C23" s="15" t="n">
        <f aca="false">SUMIF(Backlog!$B$2:$B$350,$A23,Backlog!$L$2:$L$350)</f>
        <v>54</v>
      </c>
      <c r="D23" s="23" t="n">
        <f aca="false">IFERROR(C23/$C$33,0)</f>
        <v>0.0238938053097345</v>
      </c>
      <c r="E23" s="16" t="n">
        <f aca="false">C23*README!$B$32</f>
        <v>32.4</v>
      </c>
      <c r="F23" s="15" t="n">
        <f aca="false">COUNTIFS(Backlog!$B$2:$B$350,$A23,Backlog!$J$2:$J$350,"Must")</f>
        <v>5</v>
      </c>
      <c r="G23" s="15" t="n">
        <f aca="false">COUNTIFS(Backlog!$B$2:$B$350,$A23,Backlog!$J$2:$J$350,"Should")</f>
        <v>3</v>
      </c>
      <c r="H23" s="15" t="n">
        <f aca="false">COUNTIFS(Backlog!$B$2:$B$350,$A23,Backlog!$J$2:$J$350,"Could")</f>
        <v>2</v>
      </c>
      <c r="I23" s="15" t="n">
        <f aca="false">COUNTIFS(Backlog!$B$2:$B$350,$A23,Backlog!$K$2:$K$350,"MVP")</f>
        <v>7</v>
      </c>
      <c r="J23" s="15" t="n">
        <f aca="false">COUNTIFS(Backlog!$B$2:$B$350,$A23,Backlog!$K$2:$K$350,"Phase 2")</f>
        <v>3</v>
      </c>
      <c r="K23" s="15" t="n">
        <f aca="false">COUNTIFS(Backlog!$B$2:$B$350,$A23,Backlog!$K$2:$K$350,"Phase 3")</f>
        <v>0</v>
      </c>
      <c r="L23" s="15" t="n">
        <f aca="false">_xlfn.MINIFS(Backlog!$M$2:$M$350,Backlog!$B$2:$B$350,$A23)</f>
        <v>13</v>
      </c>
      <c r="M23" s="15" t="n">
        <f aca="false">_xlfn.MAXIFS(Backlog!$M$2:$M$350,Backlog!$B$2:$B$350,$A23)</f>
        <v>19</v>
      </c>
      <c r="N23" s="15" t="n">
        <f aca="false">COUNTIFS(Backlog!$B$2:$B$350,$A23,Backlog!$R$2:$R$350,"Done")</f>
        <v>0</v>
      </c>
      <c r="O23" s="23" t="n">
        <f aca="false">IFERROR(N23/B23,0)</f>
        <v>0</v>
      </c>
    </row>
    <row r="24" customFormat="false" ht="15" hidden="false" customHeight="false" outlineLevel="0" collapsed="false">
      <c r="A24" s="9" t="s">
        <v>1401</v>
      </c>
      <c r="B24" s="15" t="n">
        <f aca="false">COUNTIF(Backlog!$B$2:$B$350,$A24)</f>
        <v>19</v>
      </c>
      <c r="C24" s="15" t="n">
        <f aca="false">SUMIF(Backlog!$B$2:$B$350,$A24,Backlog!$L$2:$L$350)</f>
        <v>126</v>
      </c>
      <c r="D24" s="23" t="n">
        <f aca="false">IFERROR(C24/$C$33,0)</f>
        <v>0.0557522123893805</v>
      </c>
      <c r="E24" s="16" t="n">
        <f aca="false">C24*README!$B$32</f>
        <v>75.6</v>
      </c>
      <c r="F24" s="15" t="n">
        <f aca="false">COUNTIFS(Backlog!$B$2:$B$350,$A24,Backlog!$J$2:$J$350,"Must")</f>
        <v>16</v>
      </c>
      <c r="G24" s="15" t="n">
        <f aca="false">COUNTIFS(Backlog!$B$2:$B$350,$A24,Backlog!$J$2:$J$350,"Should")</f>
        <v>3</v>
      </c>
      <c r="H24" s="15" t="n">
        <f aca="false">COUNTIFS(Backlog!$B$2:$B$350,$A24,Backlog!$J$2:$J$350,"Could")</f>
        <v>0</v>
      </c>
      <c r="I24" s="15" t="n">
        <f aca="false">COUNTIFS(Backlog!$B$2:$B$350,$A24,Backlog!$K$2:$K$350,"MVP")</f>
        <v>16</v>
      </c>
      <c r="J24" s="15" t="n">
        <f aca="false">COUNTIFS(Backlog!$B$2:$B$350,$A24,Backlog!$K$2:$K$350,"Phase 2")</f>
        <v>3</v>
      </c>
      <c r="K24" s="15" t="n">
        <f aca="false">COUNTIFS(Backlog!$B$2:$B$350,$A24,Backlog!$K$2:$K$350,"Phase 3")</f>
        <v>0</v>
      </c>
      <c r="L24" s="15" t="n">
        <f aca="false">_xlfn.MINIFS(Backlog!$M$2:$M$350,Backlog!$B$2:$B$350,$A24)</f>
        <v>6</v>
      </c>
      <c r="M24" s="15" t="n">
        <f aca="false">_xlfn.MAXIFS(Backlog!$M$2:$M$350,Backlog!$B$2:$B$350,$A24)</f>
        <v>20</v>
      </c>
      <c r="N24" s="15" t="n">
        <f aca="false">COUNTIFS(Backlog!$B$2:$B$350,$A24,Backlog!$R$2:$R$350,"Done")</f>
        <v>0</v>
      </c>
      <c r="O24" s="23" t="n">
        <f aca="false">IFERROR(N24/B24,0)</f>
        <v>0</v>
      </c>
    </row>
    <row r="25" customFormat="false" ht="15" hidden="false" customHeight="false" outlineLevel="0" collapsed="false">
      <c r="A25" s="9" t="s">
        <v>1506</v>
      </c>
      <c r="B25" s="15" t="n">
        <f aca="false">COUNTIF(Backlog!$B$2:$B$350,$A25)</f>
        <v>18</v>
      </c>
      <c r="C25" s="15" t="n">
        <f aca="false">SUMIF(Backlog!$B$2:$B$350,$A25,Backlog!$L$2:$L$350)</f>
        <v>139</v>
      </c>
      <c r="D25" s="23" t="n">
        <f aca="false">IFERROR(C25/$C$33,0)</f>
        <v>0.0615044247787611</v>
      </c>
      <c r="E25" s="16" t="n">
        <f aca="false">C25*README!$B$32</f>
        <v>83.4</v>
      </c>
      <c r="F25" s="15" t="n">
        <f aca="false">COUNTIFS(Backlog!$B$2:$B$350,$A25,Backlog!$J$2:$J$350,"Must")</f>
        <v>15</v>
      </c>
      <c r="G25" s="15" t="n">
        <f aca="false">COUNTIFS(Backlog!$B$2:$B$350,$A25,Backlog!$J$2:$J$350,"Should")</f>
        <v>3</v>
      </c>
      <c r="H25" s="15" t="n">
        <f aca="false">COUNTIFS(Backlog!$B$2:$B$350,$A25,Backlog!$J$2:$J$350,"Could")</f>
        <v>0</v>
      </c>
      <c r="I25" s="15" t="n">
        <f aca="false">COUNTIFS(Backlog!$B$2:$B$350,$A25,Backlog!$K$2:$K$350,"MVP")</f>
        <v>16</v>
      </c>
      <c r="J25" s="15" t="n">
        <f aca="false">COUNTIFS(Backlog!$B$2:$B$350,$A25,Backlog!$K$2:$K$350,"Phase 2")</f>
        <v>2</v>
      </c>
      <c r="K25" s="15" t="n">
        <f aca="false">COUNTIFS(Backlog!$B$2:$B$350,$A25,Backlog!$K$2:$K$350,"Phase 3")</f>
        <v>0</v>
      </c>
      <c r="L25" s="15" t="n">
        <f aca="false">_xlfn.MINIFS(Backlog!$M$2:$M$350,Backlog!$B$2:$B$350,$A25)</f>
        <v>6</v>
      </c>
      <c r="M25" s="15" t="n">
        <f aca="false">_xlfn.MAXIFS(Backlog!$M$2:$M$350,Backlog!$B$2:$B$350,$A25)</f>
        <v>18</v>
      </c>
      <c r="N25" s="15" t="n">
        <f aca="false">COUNTIFS(Backlog!$B$2:$B$350,$A25,Backlog!$R$2:$R$350,"Done")</f>
        <v>0</v>
      </c>
      <c r="O25" s="23" t="n">
        <f aca="false">IFERROR(N25/B25,0)</f>
        <v>0</v>
      </c>
    </row>
    <row r="26" customFormat="false" ht="15" hidden="false" customHeight="false" outlineLevel="0" collapsed="false">
      <c r="A26" s="9" t="s">
        <v>1607</v>
      </c>
      <c r="B26" s="15" t="n">
        <f aca="false">COUNTIF(Backlog!$B$2:$B$350,$A26)</f>
        <v>7</v>
      </c>
      <c r="C26" s="15" t="n">
        <f aca="false">SUMIF(Backlog!$B$2:$B$350,$A26,Backlog!$L$2:$L$350)</f>
        <v>36</v>
      </c>
      <c r="D26" s="23" t="n">
        <f aca="false">IFERROR(C26/$C$33,0)</f>
        <v>0.015929203539823</v>
      </c>
      <c r="E26" s="16" t="n">
        <f aca="false">C26*README!$B$32</f>
        <v>21.6</v>
      </c>
      <c r="F26" s="15" t="n">
        <f aca="false">COUNTIFS(Backlog!$B$2:$B$350,$A26,Backlog!$J$2:$J$350,"Must")</f>
        <v>2</v>
      </c>
      <c r="G26" s="15" t="n">
        <f aca="false">COUNTIFS(Backlog!$B$2:$B$350,$A26,Backlog!$J$2:$J$350,"Should")</f>
        <v>3</v>
      </c>
      <c r="H26" s="15" t="n">
        <f aca="false">COUNTIFS(Backlog!$B$2:$B$350,$A26,Backlog!$J$2:$J$350,"Could")</f>
        <v>2</v>
      </c>
      <c r="I26" s="15" t="n">
        <f aca="false">COUNTIFS(Backlog!$B$2:$B$350,$A26,Backlog!$K$2:$K$350,"MVP")</f>
        <v>3</v>
      </c>
      <c r="J26" s="15" t="n">
        <f aca="false">COUNTIFS(Backlog!$B$2:$B$350,$A26,Backlog!$K$2:$K$350,"Phase 2")</f>
        <v>4</v>
      </c>
      <c r="K26" s="15" t="n">
        <f aca="false">COUNTIFS(Backlog!$B$2:$B$350,$A26,Backlog!$K$2:$K$350,"Phase 3")</f>
        <v>0</v>
      </c>
      <c r="L26" s="15" t="n">
        <f aca="false">_xlfn.MINIFS(Backlog!$M$2:$M$350,Backlog!$B$2:$B$350,$A26)</f>
        <v>14</v>
      </c>
      <c r="M26" s="15" t="n">
        <f aca="false">_xlfn.MAXIFS(Backlog!$M$2:$M$350,Backlog!$B$2:$B$350,$A26)</f>
        <v>20</v>
      </c>
      <c r="N26" s="15" t="n">
        <f aca="false">COUNTIFS(Backlog!$B$2:$B$350,$A26,Backlog!$R$2:$R$350,"Done")</f>
        <v>0</v>
      </c>
      <c r="O26" s="23" t="n">
        <f aca="false">IFERROR(N26/B26,0)</f>
        <v>0</v>
      </c>
    </row>
    <row r="27" customFormat="false" ht="15" hidden="false" customHeight="false" outlineLevel="0" collapsed="false">
      <c r="A27" s="9" t="s">
        <v>1648</v>
      </c>
      <c r="B27" s="15" t="n">
        <f aca="false">COUNTIF(Backlog!$B$2:$B$350,$A27)</f>
        <v>15</v>
      </c>
      <c r="C27" s="15" t="n">
        <f aca="false">SUMIF(Backlog!$B$2:$B$350,$A27,Backlog!$L$2:$L$350)</f>
        <v>103</v>
      </c>
      <c r="D27" s="23" t="n">
        <f aca="false">IFERROR(C27/$C$33,0)</f>
        <v>0.0455752212389381</v>
      </c>
      <c r="E27" s="16" t="n">
        <f aca="false">C27*README!$B$32</f>
        <v>61.8</v>
      </c>
      <c r="F27" s="15" t="n">
        <f aca="false">COUNTIFS(Backlog!$B$2:$B$350,$A27,Backlog!$J$2:$J$350,"Must")</f>
        <v>15</v>
      </c>
      <c r="G27" s="15" t="n">
        <f aca="false">COUNTIFS(Backlog!$B$2:$B$350,$A27,Backlog!$J$2:$J$350,"Should")</f>
        <v>0</v>
      </c>
      <c r="H27" s="15" t="n">
        <f aca="false">COUNTIFS(Backlog!$B$2:$B$350,$A27,Backlog!$J$2:$J$350,"Could")</f>
        <v>0</v>
      </c>
      <c r="I27" s="15" t="n">
        <f aca="false">COUNTIFS(Backlog!$B$2:$B$350,$A27,Backlog!$K$2:$K$350,"MVP")</f>
        <v>15</v>
      </c>
      <c r="J27" s="15" t="n">
        <f aca="false">COUNTIFS(Backlog!$B$2:$B$350,$A27,Backlog!$K$2:$K$350,"Phase 2")</f>
        <v>0</v>
      </c>
      <c r="K27" s="15" t="n">
        <f aca="false">COUNTIFS(Backlog!$B$2:$B$350,$A27,Backlog!$K$2:$K$350,"Phase 3")</f>
        <v>0</v>
      </c>
      <c r="L27" s="15" t="n">
        <f aca="false">_xlfn.MINIFS(Backlog!$M$2:$M$350,Backlog!$B$2:$B$350,$A27)</f>
        <v>2</v>
      </c>
      <c r="M27" s="15" t="n">
        <f aca="false">_xlfn.MAXIFS(Backlog!$M$2:$M$350,Backlog!$B$2:$B$350,$A27)</f>
        <v>20</v>
      </c>
      <c r="N27" s="15" t="n">
        <f aca="false">COUNTIFS(Backlog!$B$2:$B$350,$A27,Backlog!$R$2:$R$350,"Done")</f>
        <v>0</v>
      </c>
      <c r="O27" s="23" t="n">
        <f aca="false">IFERROR(N27/B27,0)</f>
        <v>0</v>
      </c>
    </row>
    <row r="28" customFormat="false" ht="15" hidden="false" customHeight="false" outlineLevel="0" collapsed="false">
      <c r="A28" s="9" t="s">
        <v>1721</v>
      </c>
      <c r="B28" s="15" t="n">
        <f aca="false">COUNTIF(Backlog!$B$2:$B$350,$A28)</f>
        <v>15</v>
      </c>
      <c r="C28" s="15" t="n">
        <f aca="false">SUMIF(Backlog!$B$2:$B$350,$A28,Backlog!$L$2:$L$350)</f>
        <v>90</v>
      </c>
      <c r="D28" s="23" t="n">
        <f aca="false">IFERROR(C28/$C$33,0)</f>
        <v>0.0398230088495575</v>
      </c>
      <c r="E28" s="16" t="n">
        <f aca="false">C28*README!$B$32</f>
        <v>54</v>
      </c>
      <c r="F28" s="15" t="n">
        <f aca="false">COUNTIFS(Backlog!$B$2:$B$350,$A28,Backlog!$J$2:$J$350,"Must")</f>
        <v>14</v>
      </c>
      <c r="G28" s="15" t="n">
        <f aca="false">COUNTIFS(Backlog!$B$2:$B$350,$A28,Backlog!$J$2:$J$350,"Should")</f>
        <v>1</v>
      </c>
      <c r="H28" s="15" t="n">
        <f aca="false">COUNTIFS(Backlog!$B$2:$B$350,$A28,Backlog!$J$2:$J$350,"Could")</f>
        <v>0</v>
      </c>
      <c r="I28" s="15" t="n">
        <f aca="false">COUNTIFS(Backlog!$B$2:$B$350,$A28,Backlog!$K$2:$K$350,"MVP")</f>
        <v>15</v>
      </c>
      <c r="J28" s="15" t="n">
        <f aca="false">COUNTIFS(Backlog!$B$2:$B$350,$A28,Backlog!$K$2:$K$350,"Phase 2")</f>
        <v>0</v>
      </c>
      <c r="K28" s="15" t="n">
        <f aca="false">COUNTIFS(Backlog!$B$2:$B$350,$A28,Backlog!$K$2:$K$350,"Phase 3")</f>
        <v>0</v>
      </c>
      <c r="L28" s="15" t="n">
        <f aca="false">_xlfn.MINIFS(Backlog!$M$2:$M$350,Backlog!$B$2:$B$350,$A28)</f>
        <v>1</v>
      </c>
      <c r="M28" s="15" t="n">
        <f aca="false">_xlfn.MAXIFS(Backlog!$M$2:$M$350,Backlog!$B$2:$B$350,$A28)</f>
        <v>20</v>
      </c>
      <c r="N28" s="15" t="n">
        <f aca="false">COUNTIFS(Backlog!$B$2:$B$350,$A28,Backlog!$R$2:$R$350,"Done")</f>
        <v>0</v>
      </c>
      <c r="O28" s="23" t="n">
        <f aca="false">IFERROR(N28/B28,0)</f>
        <v>0</v>
      </c>
    </row>
    <row r="29" customFormat="false" ht="15" hidden="false" customHeight="false" outlineLevel="0" collapsed="false">
      <c r="A29" s="9" t="s">
        <v>1786</v>
      </c>
      <c r="B29" s="15" t="n">
        <f aca="false">COUNTIF(Backlog!$B$2:$B$350,$A29)</f>
        <v>12</v>
      </c>
      <c r="C29" s="15" t="n">
        <f aca="false">SUMIF(Backlog!$B$2:$B$350,$A29,Backlog!$L$2:$L$350)</f>
        <v>84</v>
      </c>
      <c r="D29" s="23" t="n">
        <f aca="false">IFERROR(C29/$C$33,0)</f>
        <v>0.0371681415929204</v>
      </c>
      <c r="E29" s="16" t="n">
        <f aca="false">C29*README!$B$32</f>
        <v>50.4</v>
      </c>
      <c r="F29" s="15" t="n">
        <f aca="false">COUNTIFS(Backlog!$B$2:$B$350,$A29,Backlog!$J$2:$J$350,"Must")</f>
        <v>12</v>
      </c>
      <c r="G29" s="15" t="n">
        <f aca="false">COUNTIFS(Backlog!$B$2:$B$350,$A29,Backlog!$J$2:$J$350,"Should")</f>
        <v>0</v>
      </c>
      <c r="H29" s="15" t="n">
        <f aca="false">COUNTIFS(Backlog!$B$2:$B$350,$A29,Backlog!$J$2:$J$350,"Could")</f>
        <v>0</v>
      </c>
      <c r="I29" s="15" t="n">
        <f aca="false">COUNTIFS(Backlog!$B$2:$B$350,$A29,Backlog!$K$2:$K$350,"MVP")</f>
        <v>12</v>
      </c>
      <c r="J29" s="15" t="n">
        <f aca="false">COUNTIFS(Backlog!$B$2:$B$350,$A29,Backlog!$K$2:$K$350,"Phase 2")</f>
        <v>0</v>
      </c>
      <c r="K29" s="15" t="n">
        <f aca="false">COUNTIFS(Backlog!$B$2:$B$350,$A29,Backlog!$K$2:$K$350,"Phase 3")</f>
        <v>0</v>
      </c>
      <c r="L29" s="15" t="n">
        <f aca="false">_xlfn.MINIFS(Backlog!$M$2:$M$350,Backlog!$B$2:$B$350,$A29)</f>
        <v>2</v>
      </c>
      <c r="M29" s="15" t="n">
        <f aca="false">_xlfn.MAXIFS(Backlog!$M$2:$M$350,Backlog!$B$2:$B$350,$A29)</f>
        <v>22</v>
      </c>
      <c r="N29" s="15" t="n">
        <f aca="false">COUNTIFS(Backlog!$B$2:$B$350,$A29,Backlog!$R$2:$R$350,"Done")</f>
        <v>0</v>
      </c>
      <c r="O29" s="23" t="n">
        <f aca="false">IFERROR(N29/B29,0)</f>
        <v>0</v>
      </c>
    </row>
    <row r="30" customFormat="false" ht="15" hidden="false" customHeight="false" outlineLevel="0" collapsed="false">
      <c r="A30" s="9" t="s">
        <v>1847</v>
      </c>
      <c r="B30" s="15" t="n">
        <f aca="false">COUNTIF(Backlog!$B$2:$B$350,$A30)</f>
        <v>9</v>
      </c>
      <c r="C30" s="15" t="n">
        <f aca="false">SUMIF(Backlog!$B$2:$B$350,$A30,Backlog!$L$2:$L$350)</f>
        <v>53</v>
      </c>
      <c r="D30" s="23" t="n">
        <f aca="false">IFERROR(C30/$C$33,0)</f>
        <v>0.0234513274336283</v>
      </c>
      <c r="E30" s="16" t="n">
        <f aca="false">C30*README!$B$32</f>
        <v>31.8</v>
      </c>
      <c r="F30" s="15" t="n">
        <f aca="false">COUNTIFS(Backlog!$B$2:$B$350,$A30,Backlog!$J$2:$J$350,"Must")</f>
        <v>7</v>
      </c>
      <c r="G30" s="15" t="n">
        <f aca="false">COUNTIFS(Backlog!$B$2:$B$350,$A30,Backlog!$J$2:$J$350,"Should")</f>
        <v>2</v>
      </c>
      <c r="H30" s="15" t="n">
        <f aca="false">COUNTIFS(Backlog!$B$2:$B$350,$A30,Backlog!$J$2:$J$350,"Could")</f>
        <v>0</v>
      </c>
      <c r="I30" s="15" t="n">
        <f aca="false">COUNTIFS(Backlog!$B$2:$B$350,$A30,Backlog!$K$2:$K$350,"MVP")</f>
        <v>9</v>
      </c>
      <c r="J30" s="15" t="n">
        <f aca="false">COUNTIFS(Backlog!$B$2:$B$350,$A30,Backlog!$K$2:$K$350,"Phase 2")</f>
        <v>0</v>
      </c>
      <c r="K30" s="15" t="n">
        <f aca="false">COUNTIFS(Backlog!$B$2:$B$350,$A30,Backlog!$K$2:$K$350,"Phase 3")</f>
        <v>0</v>
      </c>
      <c r="L30" s="15" t="n">
        <f aca="false">_xlfn.MINIFS(Backlog!$M$2:$M$350,Backlog!$B$2:$B$350,$A30)</f>
        <v>17</v>
      </c>
      <c r="M30" s="15" t="n">
        <f aca="false">_xlfn.MAXIFS(Backlog!$M$2:$M$350,Backlog!$B$2:$B$350,$A30)</f>
        <v>19</v>
      </c>
      <c r="N30" s="15" t="n">
        <f aca="false">COUNTIFS(Backlog!$B$2:$B$350,$A30,Backlog!$R$2:$R$350,"Done")</f>
        <v>0</v>
      </c>
      <c r="O30" s="23" t="n">
        <f aca="false">IFERROR(N30/B30,0)</f>
        <v>0</v>
      </c>
    </row>
    <row r="31" customFormat="false" ht="15" hidden="false" customHeight="false" outlineLevel="0" collapsed="false">
      <c r="A31" s="9" t="s">
        <v>1896</v>
      </c>
      <c r="B31" s="15" t="n">
        <f aca="false">COUNTIF(Backlog!$B$2:$B$350,$A31)</f>
        <v>9</v>
      </c>
      <c r="C31" s="15" t="n">
        <f aca="false">SUMIF(Backlog!$B$2:$B$350,$A31,Backlog!$L$2:$L$350)</f>
        <v>47</v>
      </c>
      <c r="D31" s="23" t="n">
        <f aca="false">IFERROR(C31/$C$33,0)</f>
        <v>0.0207964601769912</v>
      </c>
      <c r="E31" s="16" t="n">
        <f aca="false">C31*README!$B$32</f>
        <v>28.2</v>
      </c>
      <c r="F31" s="15" t="n">
        <f aca="false">COUNTIFS(Backlog!$B$2:$B$350,$A31,Backlog!$J$2:$J$350,"Must")</f>
        <v>8</v>
      </c>
      <c r="G31" s="15" t="n">
        <f aca="false">COUNTIFS(Backlog!$B$2:$B$350,$A31,Backlog!$J$2:$J$350,"Should")</f>
        <v>1</v>
      </c>
      <c r="H31" s="15" t="n">
        <f aca="false">COUNTIFS(Backlog!$B$2:$B$350,$A31,Backlog!$J$2:$J$350,"Could")</f>
        <v>0</v>
      </c>
      <c r="I31" s="15" t="n">
        <f aca="false">COUNTIFS(Backlog!$B$2:$B$350,$A31,Backlog!$K$2:$K$350,"MVP")</f>
        <v>8</v>
      </c>
      <c r="J31" s="15" t="n">
        <f aca="false">COUNTIFS(Backlog!$B$2:$B$350,$A31,Backlog!$K$2:$K$350,"Phase 2")</f>
        <v>1</v>
      </c>
      <c r="K31" s="15" t="n">
        <f aca="false">COUNTIFS(Backlog!$B$2:$B$350,$A31,Backlog!$K$2:$K$350,"Phase 3")</f>
        <v>0</v>
      </c>
      <c r="L31" s="15" t="n">
        <f aca="false">_xlfn.MINIFS(Backlog!$M$2:$M$350,Backlog!$B$2:$B$350,$A31)</f>
        <v>8</v>
      </c>
      <c r="M31" s="15" t="n">
        <f aca="false">_xlfn.MAXIFS(Backlog!$M$2:$M$350,Backlog!$B$2:$B$350,$A31)</f>
        <v>20</v>
      </c>
      <c r="N31" s="15" t="n">
        <f aca="false">COUNTIFS(Backlog!$B$2:$B$350,$A31,Backlog!$R$2:$R$350,"Done")</f>
        <v>0</v>
      </c>
      <c r="O31" s="23" t="n">
        <f aca="false">IFERROR(N31/B31,0)</f>
        <v>0</v>
      </c>
    </row>
    <row r="32" customFormat="false" ht="15" hidden="false" customHeight="false" outlineLevel="0" collapsed="false">
      <c r="A32" s="9" t="s">
        <v>1939</v>
      </c>
      <c r="B32" s="15" t="n">
        <f aca="false">COUNTIF(Backlog!$B$2:$B$350,$A32)</f>
        <v>8</v>
      </c>
      <c r="C32" s="15" t="n">
        <f aca="false">SUMIF(Backlog!$B$2:$B$350,$A32,Backlog!$L$2:$L$350)</f>
        <v>42</v>
      </c>
      <c r="D32" s="23" t="n">
        <f aca="false">IFERROR(C32/$C$33,0)</f>
        <v>0.0185840707964602</v>
      </c>
      <c r="E32" s="16" t="n">
        <f aca="false">C32*README!$B$32</f>
        <v>25.2</v>
      </c>
      <c r="F32" s="15" t="n">
        <f aca="false">COUNTIFS(Backlog!$B$2:$B$350,$A32,Backlog!$J$2:$J$350,"Must")</f>
        <v>6</v>
      </c>
      <c r="G32" s="15" t="n">
        <f aca="false">COUNTIFS(Backlog!$B$2:$B$350,$A32,Backlog!$J$2:$J$350,"Should")</f>
        <v>2</v>
      </c>
      <c r="H32" s="15" t="n">
        <f aca="false">COUNTIFS(Backlog!$B$2:$B$350,$A32,Backlog!$J$2:$J$350,"Could")</f>
        <v>0</v>
      </c>
      <c r="I32" s="15" t="n">
        <f aca="false">COUNTIFS(Backlog!$B$2:$B$350,$A32,Backlog!$K$2:$K$350,"MVP")</f>
        <v>8</v>
      </c>
      <c r="J32" s="15" t="n">
        <f aca="false">COUNTIFS(Backlog!$B$2:$B$350,$A32,Backlog!$K$2:$K$350,"Phase 2")</f>
        <v>0</v>
      </c>
      <c r="K32" s="15" t="n">
        <f aca="false">COUNTIFS(Backlog!$B$2:$B$350,$A32,Backlog!$K$2:$K$350,"Phase 3")</f>
        <v>0</v>
      </c>
      <c r="L32" s="15" t="n">
        <f aca="false">_xlfn.MINIFS(Backlog!$M$2:$M$350,Backlog!$B$2:$B$350,$A32)</f>
        <v>19</v>
      </c>
      <c r="M32" s="15" t="n">
        <f aca="false">_xlfn.MAXIFS(Backlog!$M$2:$M$350,Backlog!$B$2:$B$350,$A32)</f>
        <v>23</v>
      </c>
      <c r="N32" s="15" t="n">
        <f aca="false">COUNTIFS(Backlog!$B$2:$B$350,$A32,Backlog!$R$2:$R$350,"Done")</f>
        <v>0</v>
      </c>
      <c r="O32" s="23" t="n">
        <f aca="false">IFERROR(N32/B32,0)</f>
        <v>0</v>
      </c>
    </row>
    <row r="33" customFormat="false" ht="15" hidden="false" customHeight="false" outlineLevel="0" collapsed="false">
      <c r="A33" s="24" t="s">
        <v>1978</v>
      </c>
      <c r="B33" s="25" t="n">
        <f aca="false">SUM(B4:B32)</f>
        <v>349</v>
      </c>
      <c r="C33" s="25" t="n">
        <f aca="false">SUM(C4:C32)</f>
        <v>2260</v>
      </c>
      <c r="D33" s="26" t="n">
        <f aca="false">SUM(D4:D32)</f>
        <v>1</v>
      </c>
      <c r="E33" s="27" t="n">
        <f aca="false">SUM(E4:E32)</f>
        <v>1356</v>
      </c>
      <c r="F33" s="25" t="n">
        <f aca="false">SUM(F4:F32)</f>
        <v>264</v>
      </c>
      <c r="G33" s="25" t="n">
        <f aca="false">SUM(G4:G32)</f>
        <v>64</v>
      </c>
      <c r="H33" s="25" t="n">
        <f aca="false">SUM(H4:H32)</f>
        <v>21</v>
      </c>
      <c r="I33" s="25" t="n">
        <f aca="false">SUM(I4:I32)</f>
        <v>293</v>
      </c>
      <c r="J33" s="25" t="n">
        <f aca="false">SUM(J4:J32)</f>
        <v>50</v>
      </c>
      <c r="K33" s="25" t="n">
        <f aca="false">SUM(K4:K32)</f>
        <v>6</v>
      </c>
      <c r="L33" s="25" t="n">
        <f aca="false">MIN(L4:L32)</f>
        <v>1</v>
      </c>
      <c r="M33" s="25" t="n">
        <f aca="false">MAX(M4:M32)</f>
        <v>23</v>
      </c>
      <c r="N33" s="25" t="n">
        <f aca="false">SUM(N4:N32)</f>
        <v>0</v>
      </c>
      <c r="O33" s="26" t="n">
        <f aca="false">IFERROR(N33/B33,0)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2"/>
    <col collapsed="false" customWidth="true" hidden="false" outlineLevel="0" max="3" min="3" style="0" width="9"/>
    <col collapsed="false" customWidth="true" hidden="false" outlineLevel="0" max="4" min="4" style="0" width="11"/>
    <col collapsed="false" customWidth="true" hidden="false" outlineLevel="0" max="5" min="5" style="0" width="8"/>
    <col collapsed="false" customWidth="true" hidden="false" outlineLevel="0" max="6" min="6" style="0" width="13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16"/>
    <col collapsed="false" customWidth="true" hidden="false" outlineLevel="0" max="10" min="10" style="0" width="12"/>
    <col collapsed="false" customWidth="true" hidden="false" outlineLevel="0" max="11" min="11" style="0" width="17"/>
    <col collapsed="false" customWidth="true" hidden="false" outlineLevel="0" max="12" min="12" style="0" width="15"/>
  </cols>
  <sheetData>
    <row r="1" customFormat="false" ht="19.7" hidden="false" customHeight="false" outlineLevel="0" collapsed="false">
      <c r="A1" s="1" t="s">
        <v>2311</v>
      </c>
    </row>
    <row r="2" customFormat="false" ht="15" hidden="false" customHeight="false" outlineLevel="0" collapsed="false">
      <c r="A2" s="14" t="s">
        <v>2312</v>
      </c>
    </row>
    <row r="4" customFormat="false" ht="15" hidden="false" customHeight="false" outlineLevel="0" collapsed="false">
      <c r="A4" s="8" t="s">
        <v>85</v>
      </c>
      <c r="B4" s="8" t="s">
        <v>86</v>
      </c>
      <c r="C4" s="8" t="s">
        <v>2313</v>
      </c>
      <c r="D4" s="8" t="s">
        <v>2314</v>
      </c>
      <c r="E4" s="8" t="s">
        <v>2305</v>
      </c>
      <c r="F4" s="8" t="s">
        <v>84</v>
      </c>
      <c r="G4" s="8" t="s">
        <v>2315</v>
      </c>
      <c r="H4" s="8" t="s">
        <v>2316</v>
      </c>
      <c r="I4" s="8" t="s">
        <v>87</v>
      </c>
      <c r="J4" s="8" t="s">
        <v>2317</v>
      </c>
      <c r="K4" s="8" t="s">
        <v>2318</v>
      </c>
      <c r="L4" s="8" t="s">
        <v>2319</v>
      </c>
    </row>
    <row r="5" customFormat="false" ht="15" hidden="false" customHeight="false" outlineLevel="0" collapsed="false">
      <c r="A5" s="15" t="n">
        <v>1</v>
      </c>
      <c r="B5" s="28" t="str">
        <f aca="false">IF(A5&lt;=4,"R1 Foundation",IF(A5&lt;=8,"R2 Core Clinic",IF(A5&lt;=13,"R3 Revenue &amp; Messaging",IF(A5&lt;=18,"R4 Patient &amp; Platform",IF(A5&lt;=20,"R5 Harden","R6 Launch")))))</f>
        <v>R1 Foundation</v>
      </c>
      <c r="C5" s="29" t="n">
        <v>2</v>
      </c>
      <c r="D5" s="15" t="n">
        <f aca="false">C5*README!$B$31</f>
        <v>80</v>
      </c>
      <c r="E5" s="15" t="n">
        <f aca="false">COUNTIF(Backlog!$M$2:$M$350,$A5)</f>
        <v>6</v>
      </c>
      <c r="F5" s="15" t="n">
        <f aca="false">SUMIF(Backlog!$M$2:$M$350,$A5,Backlog!$L$2:$L$350)</f>
        <v>42</v>
      </c>
      <c r="G5" s="15" t="n">
        <f aca="false">D5-F5</f>
        <v>38</v>
      </c>
      <c r="H5" s="30" t="n">
        <f aca="false">IFERROR(F5/D5,0)</f>
        <v>0.525</v>
      </c>
      <c r="I5" s="16" t="n">
        <f aca="false">F5*README!$B$32</f>
        <v>25.2</v>
      </c>
      <c r="J5" s="15" t="n">
        <f aca="false">COUNTIFS(Backlog!$M$2:$M$350,$A5,Backlog!$J$2:$J$350,"Must")</f>
        <v>6</v>
      </c>
      <c r="K5" s="15" t="n">
        <f aca="false">SUM($F$5:F5)</f>
        <v>42</v>
      </c>
      <c r="L5" s="30" t="n">
        <f aca="false">IFERROR(K5/SUM($F$5:$F$27),0)</f>
        <v>0.0185840707964602</v>
      </c>
    </row>
    <row r="6" customFormat="false" ht="15" hidden="false" customHeight="false" outlineLevel="0" collapsed="false">
      <c r="A6" s="15" t="n">
        <v>2</v>
      </c>
      <c r="B6" s="28" t="str">
        <f aca="false">IF(A6&lt;=4,"R1 Foundation",IF(A6&lt;=8,"R2 Core Clinic",IF(A6&lt;=13,"R3 Revenue &amp; Messaging",IF(A6&lt;=18,"R4 Patient &amp; Platform",IF(A6&lt;=20,"R5 Harden","R6 Launch")))))</f>
        <v>R1 Foundation</v>
      </c>
      <c r="C6" s="29" t="n">
        <v>2</v>
      </c>
      <c r="D6" s="15" t="n">
        <f aca="false">C6*README!$B$31</f>
        <v>80</v>
      </c>
      <c r="E6" s="15" t="n">
        <f aca="false">COUNTIF(Backlog!$M$2:$M$350,$A6)</f>
        <v>10</v>
      </c>
      <c r="F6" s="15" t="n">
        <f aca="false">SUMIF(Backlog!$M$2:$M$350,$A6,Backlog!$L$2:$L$350)</f>
        <v>61</v>
      </c>
      <c r="G6" s="15" t="n">
        <f aca="false">D6-F6</f>
        <v>19</v>
      </c>
      <c r="H6" s="30" t="n">
        <f aca="false">IFERROR(F6/D6,0)</f>
        <v>0.7625</v>
      </c>
      <c r="I6" s="16" t="n">
        <f aca="false">F6*README!$B$32</f>
        <v>36.6</v>
      </c>
      <c r="J6" s="15" t="n">
        <f aca="false">COUNTIFS(Backlog!$M$2:$M$350,$A6,Backlog!$J$2:$J$350,"Must")</f>
        <v>10</v>
      </c>
      <c r="K6" s="15" t="n">
        <f aca="false">SUM($F$5:F6)</f>
        <v>103</v>
      </c>
      <c r="L6" s="30" t="n">
        <f aca="false">IFERROR(K6/SUM($F$5:$F$27),0)</f>
        <v>0.0455752212389381</v>
      </c>
    </row>
    <row r="7" customFormat="false" ht="15" hidden="false" customHeight="false" outlineLevel="0" collapsed="false">
      <c r="A7" s="15" t="n">
        <v>3</v>
      </c>
      <c r="B7" s="28" t="str">
        <f aca="false">IF(A7&lt;=4,"R1 Foundation",IF(A7&lt;=8,"R2 Core Clinic",IF(A7&lt;=13,"R3 Revenue &amp; Messaging",IF(A7&lt;=18,"R4 Patient &amp; Platform",IF(A7&lt;=20,"R5 Harden","R6 Launch")))))</f>
        <v>R1 Foundation</v>
      </c>
      <c r="C7" s="29" t="n">
        <v>2</v>
      </c>
      <c r="D7" s="15" t="n">
        <f aca="false">C7*README!$B$31</f>
        <v>80</v>
      </c>
      <c r="E7" s="15" t="n">
        <f aca="false">COUNTIF(Backlog!$M$2:$M$350,$A7)</f>
        <v>10</v>
      </c>
      <c r="F7" s="15" t="n">
        <f aca="false">SUMIF(Backlog!$M$2:$M$350,$A7,Backlog!$L$2:$L$350)</f>
        <v>65</v>
      </c>
      <c r="G7" s="15" t="n">
        <f aca="false">D7-F7</f>
        <v>15</v>
      </c>
      <c r="H7" s="30" t="n">
        <f aca="false">IFERROR(F7/D7,0)</f>
        <v>0.8125</v>
      </c>
      <c r="I7" s="16" t="n">
        <f aca="false">F7*README!$B$32</f>
        <v>39</v>
      </c>
      <c r="J7" s="15" t="n">
        <f aca="false">COUNTIFS(Backlog!$M$2:$M$350,$A7,Backlog!$J$2:$J$350,"Must")</f>
        <v>9</v>
      </c>
      <c r="K7" s="15" t="n">
        <f aca="false">SUM($F$5:F7)</f>
        <v>168</v>
      </c>
      <c r="L7" s="30" t="n">
        <f aca="false">IFERROR(K7/SUM($F$5:$F$27),0)</f>
        <v>0.0743362831858407</v>
      </c>
    </row>
    <row r="8" customFormat="false" ht="15" hidden="false" customHeight="false" outlineLevel="0" collapsed="false">
      <c r="A8" s="15" t="n">
        <v>4</v>
      </c>
      <c r="B8" s="28" t="str">
        <f aca="false">IF(A8&lt;=4,"R1 Foundation",IF(A8&lt;=8,"R2 Core Clinic",IF(A8&lt;=13,"R3 Revenue &amp; Messaging",IF(A8&lt;=18,"R4 Patient &amp; Platform",IF(A8&lt;=20,"R5 Harden","R6 Launch")))))</f>
        <v>R1 Foundation</v>
      </c>
      <c r="C8" s="29" t="n">
        <v>2</v>
      </c>
      <c r="D8" s="15" t="n">
        <f aca="false">C8*README!$B$31</f>
        <v>80</v>
      </c>
      <c r="E8" s="15" t="n">
        <f aca="false">COUNTIF(Backlog!$M$2:$M$350,$A8)</f>
        <v>8</v>
      </c>
      <c r="F8" s="15" t="n">
        <f aca="false">SUMIF(Backlog!$M$2:$M$350,$A8,Backlog!$L$2:$L$350)</f>
        <v>45</v>
      </c>
      <c r="G8" s="15" t="n">
        <f aca="false">D8-F8</f>
        <v>35</v>
      </c>
      <c r="H8" s="30" t="n">
        <f aca="false">IFERROR(F8/D8,0)</f>
        <v>0.5625</v>
      </c>
      <c r="I8" s="16" t="n">
        <f aca="false">F8*README!$B$32</f>
        <v>27</v>
      </c>
      <c r="J8" s="15" t="n">
        <f aca="false">COUNTIFS(Backlog!$M$2:$M$350,$A8,Backlog!$J$2:$J$350,"Must")</f>
        <v>8</v>
      </c>
      <c r="K8" s="15" t="n">
        <f aca="false">SUM($F$5:F8)</f>
        <v>213</v>
      </c>
      <c r="L8" s="30" t="n">
        <f aca="false">IFERROR(K8/SUM($F$5:$F$27),0)</f>
        <v>0.0942477876106195</v>
      </c>
    </row>
    <row r="9" customFormat="false" ht="15" hidden="false" customHeight="false" outlineLevel="0" collapsed="false">
      <c r="A9" s="15" t="n">
        <v>5</v>
      </c>
      <c r="B9" s="28" t="str">
        <f aca="false">IF(A9&lt;=4,"R1 Foundation",IF(A9&lt;=8,"R2 Core Clinic",IF(A9&lt;=13,"R3 Revenue &amp; Messaging",IF(A9&lt;=18,"R4 Patient &amp; Platform",IF(A9&lt;=20,"R5 Harden","R6 Launch")))))</f>
        <v>R2 Core Clinic</v>
      </c>
      <c r="C9" s="29" t="n">
        <v>2</v>
      </c>
      <c r="D9" s="15" t="n">
        <f aca="false">C9*README!$B$31</f>
        <v>80</v>
      </c>
      <c r="E9" s="15" t="n">
        <f aca="false">COUNTIF(Backlog!$M$2:$M$350,$A9)</f>
        <v>10</v>
      </c>
      <c r="F9" s="15" t="n">
        <f aca="false">SUMIF(Backlog!$M$2:$M$350,$A9,Backlog!$L$2:$L$350)</f>
        <v>56</v>
      </c>
      <c r="G9" s="15" t="n">
        <f aca="false">D9-F9</f>
        <v>24</v>
      </c>
      <c r="H9" s="30" t="n">
        <f aca="false">IFERROR(F9/D9,0)</f>
        <v>0.7</v>
      </c>
      <c r="I9" s="16" t="n">
        <f aca="false">F9*README!$B$32</f>
        <v>33.6</v>
      </c>
      <c r="J9" s="15" t="n">
        <f aca="false">COUNTIFS(Backlog!$M$2:$M$350,$A9,Backlog!$J$2:$J$350,"Must")</f>
        <v>10</v>
      </c>
      <c r="K9" s="15" t="n">
        <f aca="false">SUM($F$5:F9)</f>
        <v>269</v>
      </c>
      <c r="L9" s="30" t="n">
        <f aca="false">IFERROR(K9/SUM($F$5:$F$27),0)</f>
        <v>0.119026548672566</v>
      </c>
    </row>
    <row r="10" customFormat="false" ht="15" hidden="false" customHeight="false" outlineLevel="0" collapsed="false">
      <c r="A10" s="15" t="n">
        <v>6</v>
      </c>
      <c r="B10" s="28" t="str">
        <f aca="false">IF(A10&lt;=4,"R1 Foundation",IF(A10&lt;=8,"R2 Core Clinic",IF(A10&lt;=13,"R3 Revenue &amp; Messaging",IF(A10&lt;=18,"R4 Patient &amp; Platform",IF(A10&lt;=20,"R5 Harden","R6 Launch")))))</f>
        <v>R2 Core Clinic</v>
      </c>
      <c r="C10" s="29" t="n">
        <v>2</v>
      </c>
      <c r="D10" s="15" t="n">
        <f aca="false">C10*README!$B$31</f>
        <v>80</v>
      </c>
      <c r="E10" s="15" t="n">
        <f aca="false">COUNTIF(Backlog!$M$2:$M$350,$A10)</f>
        <v>13</v>
      </c>
      <c r="F10" s="15" t="n">
        <f aca="false">SUMIF(Backlog!$M$2:$M$350,$A10,Backlog!$L$2:$L$350)</f>
        <v>76</v>
      </c>
      <c r="G10" s="15" t="n">
        <f aca="false">D10-F10</f>
        <v>4</v>
      </c>
      <c r="H10" s="30" t="n">
        <f aca="false">IFERROR(F10/D10,0)</f>
        <v>0.95</v>
      </c>
      <c r="I10" s="16" t="n">
        <f aca="false">F10*README!$B$32</f>
        <v>45.6</v>
      </c>
      <c r="J10" s="15" t="n">
        <f aca="false">COUNTIFS(Backlog!$M$2:$M$350,$A10,Backlog!$J$2:$J$350,"Must")</f>
        <v>13</v>
      </c>
      <c r="K10" s="15" t="n">
        <f aca="false">SUM($F$5:F10)</f>
        <v>345</v>
      </c>
      <c r="L10" s="30" t="n">
        <f aca="false">IFERROR(K10/SUM($F$5:$F$27),0)</f>
        <v>0.152654867256637</v>
      </c>
    </row>
    <row r="11" customFormat="false" ht="15" hidden="false" customHeight="false" outlineLevel="0" collapsed="false">
      <c r="A11" s="15" t="n">
        <v>7</v>
      </c>
      <c r="B11" s="28" t="str">
        <f aca="false">IF(A11&lt;=4,"R1 Foundation",IF(A11&lt;=8,"R2 Core Clinic",IF(A11&lt;=13,"R3 Revenue &amp; Messaging",IF(A11&lt;=18,"R4 Patient &amp; Platform",IF(A11&lt;=20,"R5 Harden","R6 Launch")))))</f>
        <v>R2 Core Clinic</v>
      </c>
      <c r="C11" s="29" t="n">
        <v>3</v>
      </c>
      <c r="D11" s="15" t="n">
        <f aca="false">C11*README!$B$31</f>
        <v>120</v>
      </c>
      <c r="E11" s="15" t="n">
        <f aca="false">COUNTIF(Backlog!$M$2:$M$350,$A11)</f>
        <v>14</v>
      </c>
      <c r="F11" s="15" t="n">
        <f aca="false">SUMIF(Backlog!$M$2:$M$350,$A11,Backlog!$L$2:$L$350)</f>
        <v>99</v>
      </c>
      <c r="G11" s="15" t="n">
        <f aca="false">D11-F11</f>
        <v>21</v>
      </c>
      <c r="H11" s="30" t="n">
        <f aca="false">IFERROR(F11/D11,0)</f>
        <v>0.825</v>
      </c>
      <c r="I11" s="16" t="n">
        <f aca="false">F11*README!$B$32</f>
        <v>59.4</v>
      </c>
      <c r="J11" s="15" t="n">
        <f aca="false">COUNTIFS(Backlog!$M$2:$M$350,$A11,Backlog!$J$2:$J$350,"Must")</f>
        <v>13</v>
      </c>
      <c r="K11" s="15" t="n">
        <f aca="false">SUM($F$5:F11)</f>
        <v>444</v>
      </c>
      <c r="L11" s="30" t="n">
        <f aca="false">IFERROR(K11/SUM($F$5:$F$27),0)</f>
        <v>0.19646017699115</v>
      </c>
    </row>
    <row r="12" customFormat="false" ht="15" hidden="false" customHeight="false" outlineLevel="0" collapsed="false">
      <c r="A12" s="15" t="n">
        <v>8</v>
      </c>
      <c r="B12" s="28" t="str">
        <f aca="false">IF(A12&lt;=4,"R1 Foundation",IF(A12&lt;=8,"R2 Core Clinic",IF(A12&lt;=13,"R3 Revenue &amp; Messaging",IF(A12&lt;=18,"R4 Patient &amp; Platform",IF(A12&lt;=20,"R5 Harden","R6 Launch")))))</f>
        <v>R2 Core Clinic</v>
      </c>
      <c r="C12" s="29" t="n">
        <v>2</v>
      </c>
      <c r="D12" s="15" t="n">
        <f aca="false">C12*README!$B$31</f>
        <v>80</v>
      </c>
      <c r="E12" s="15" t="n">
        <f aca="false">COUNTIF(Backlog!$M$2:$M$350,$A12)</f>
        <v>11</v>
      </c>
      <c r="F12" s="15" t="n">
        <f aca="false">SUMIF(Backlog!$M$2:$M$350,$A12,Backlog!$L$2:$L$350)</f>
        <v>70</v>
      </c>
      <c r="G12" s="15" t="n">
        <f aca="false">D12-F12</f>
        <v>10</v>
      </c>
      <c r="H12" s="30" t="n">
        <f aca="false">IFERROR(F12/D12,0)</f>
        <v>0.875</v>
      </c>
      <c r="I12" s="16" t="n">
        <f aca="false">F12*README!$B$32</f>
        <v>42</v>
      </c>
      <c r="J12" s="15" t="n">
        <f aca="false">COUNTIFS(Backlog!$M$2:$M$350,$A12,Backlog!$J$2:$J$350,"Must")</f>
        <v>10</v>
      </c>
      <c r="K12" s="15" t="n">
        <f aca="false">SUM($F$5:F12)</f>
        <v>514</v>
      </c>
      <c r="L12" s="30" t="n">
        <f aca="false">IFERROR(K12/SUM($F$5:$F$27),0)</f>
        <v>0.227433628318584</v>
      </c>
    </row>
    <row r="13" customFormat="false" ht="15" hidden="false" customHeight="false" outlineLevel="0" collapsed="false">
      <c r="A13" s="15" t="n">
        <v>9</v>
      </c>
      <c r="B13" s="28" t="str">
        <f aca="false">IF(A13&lt;=4,"R1 Foundation",IF(A13&lt;=8,"R2 Core Clinic",IF(A13&lt;=13,"R3 Revenue &amp; Messaging",IF(A13&lt;=18,"R4 Patient &amp; Platform",IF(A13&lt;=20,"R5 Harden","R6 Launch")))))</f>
        <v>R3 Revenue &amp; Messaging</v>
      </c>
      <c r="C13" s="29" t="n">
        <v>3</v>
      </c>
      <c r="D13" s="15" t="n">
        <f aca="false">C13*README!$B$31</f>
        <v>120</v>
      </c>
      <c r="E13" s="15" t="n">
        <f aca="false">COUNTIF(Backlog!$M$2:$M$350,$A13)</f>
        <v>13</v>
      </c>
      <c r="F13" s="15" t="n">
        <f aca="false">SUMIF(Backlog!$M$2:$M$350,$A13,Backlog!$L$2:$L$350)</f>
        <v>80</v>
      </c>
      <c r="G13" s="15" t="n">
        <f aca="false">D13-F13</f>
        <v>40</v>
      </c>
      <c r="H13" s="30" t="n">
        <f aca="false">IFERROR(F13/D13,0)</f>
        <v>0.666666666666667</v>
      </c>
      <c r="I13" s="16" t="n">
        <f aca="false">F13*README!$B$32</f>
        <v>48</v>
      </c>
      <c r="J13" s="15" t="n">
        <f aca="false">COUNTIFS(Backlog!$M$2:$M$350,$A13,Backlog!$J$2:$J$350,"Must")</f>
        <v>12</v>
      </c>
      <c r="K13" s="15" t="n">
        <f aca="false">SUM($F$5:F13)</f>
        <v>594</v>
      </c>
      <c r="L13" s="30" t="n">
        <f aca="false">IFERROR(K13/SUM($F$5:$F$27),0)</f>
        <v>0.26283185840708</v>
      </c>
    </row>
    <row r="14" customFormat="false" ht="15" hidden="false" customHeight="false" outlineLevel="0" collapsed="false">
      <c r="A14" s="15" t="n">
        <v>10</v>
      </c>
      <c r="B14" s="28" t="str">
        <f aca="false">IF(A14&lt;=4,"R1 Foundation",IF(A14&lt;=8,"R2 Core Clinic",IF(A14&lt;=13,"R3 Revenue &amp; Messaging",IF(A14&lt;=18,"R4 Patient &amp; Platform",IF(A14&lt;=20,"R5 Harden","R6 Launch")))))</f>
        <v>R3 Revenue &amp; Messaging</v>
      </c>
      <c r="C14" s="29" t="n">
        <v>3</v>
      </c>
      <c r="D14" s="15" t="n">
        <f aca="false">C14*README!$B$31</f>
        <v>120</v>
      </c>
      <c r="E14" s="15" t="n">
        <f aca="false">COUNTIF(Backlog!$M$2:$M$350,$A14)</f>
        <v>15</v>
      </c>
      <c r="F14" s="15" t="n">
        <f aca="false">SUMIF(Backlog!$M$2:$M$350,$A14,Backlog!$L$2:$L$350)</f>
        <v>102</v>
      </c>
      <c r="G14" s="15" t="n">
        <f aca="false">D14-F14</f>
        <v>18</v>
      </c>
      <c r="H14" s="30" t="n">
        <f aca="false">IFERROR(F14/D14,0)</f>
        <v>0.85</v>
      </c>
      <c r="I14" s="16" t="n">
        <f aca="false">F14*README!$B$32</f>
        <v>61.2</v>
      </c>
      <c r="J14" s="15" t="n">
        <f aca="false">COUNTIFS(Backlog!$M$2:$M$350,$A14,Backlog!$J$2:$J$350,"Must")</f>
        <v>15</v>
      </c>
      <c r="K14" s="15" t="n">
        <f aca="false">SUM($F$5:F14)</f>
        <v>696</v>
      </c>
      <c r="L14" s="30" t="n">
        <f aca="false">IFERROR(K14/SUM($F$5:$F$27),0)</f>
        <v>0.307964601769912</v>
      </c>
    </row>
    <row r="15" customFormat="false" ht="15" hidden="false" customHeight="false" outlineLevel="0" collapsed="false">
      <c r="A15" s="15" t="n">
        <v>11</v>
      </c>
      <c r="B15" s="28" t="str">
        <f aca="false">IF(A15&lt;=4,"R1 Foundation",IF(A15&lt;=8,"R2 Core Clinic",IF(A15&lt;=13,"R3 Revenue &amp; Messaging",IF(A15&lt;=18,"R4 Patient &amp; Platform",IF(A15&lt;=20,"R5 Harden","R6 Launch")))))</f>
        <v>R3 Revenue &amp; Messaging</v>
      </c>
      <c r="C15" s="29" t="n">
        <v>3</v>
      </c>
      <c r="D15" s="15" t="n">
        <f aca="false">C15*README!$B$31</f>
        <v>120</v>
      </c>
      <c r="E15" s="15" t="n">
        <f aca="false">COUNTIF(Backlog!$M$2:$M$350,$A15)</f>
        <v>12</v>
      </c>
      <c r="F15" s="15" t="n">
        <f aca="false">SUMIF(Backlog!$M$2:$M$350,$A15,Backlog!$L$2:$L$350)</f>
        <v>84</v>
      </c>
      <c r="G15" s="15" t="n">
        <f aca="false">D15-F15</f>
        <v>36</v>
      </c>
      <c r="H15" s="30" t="n">
        <f aca="false">IFERROR(F15/D15,0)</f>
        <v>0.7</v>
      </c>
      <c r="I15" s="16" t="n">
        <f aca="false">F15*README!$B$32</f>
        <v>50.4</v>
      </c>
      <c r="J15" s="15" t="n">
        <f aca="false">COUNTIFS(Backlog!$M$2:$M$350,$A15,Backlog!$J$2:$J$350,"Must")</f>
        <v>12</v>
      </c>
      <c r="K15" s="15" t="n">
        <f aca="false">SUM($F$5:F15)</f>
        <v>780</v>
      </c>
      <c r="L15" s="30" t="n">
        <f aca="false">IFERROR(K15/SUM($F$5:$F$27),0)</f>
        <v>0.345132743362832</v>
      </c>
    </row>
    <row r="16" customFormat="false" ht="15" hidden="false" customHeight="false" outlineLevel="0" collapsed="false">
      <c r="A16" s="15" t="n">
        <v>12</v>
      </c>
      <c r="B16" s="28" t="str">
        <f aca="false">IF(A16&lt;=4,"R1 Foundation",IF(A16&lt;=8,"R2 Core Clinic",IF(A16&lt;=13,"R3 Revenue &amp; Messaging",IF(A16&lt;=18,"R4 Patient &amp; Platform",IF(A16&lt;=20,"R5 Harden","R6 Launch")))))</f>
        <v>R3 Revenue &amp; Messaging</v>
      </c>
      <c r="C16" s="29" t="n">
        <v>4</v>
      </c>
      <c r="D16" s="15" t="n">
        <f aca="false">C16*README!$B$31</f>
        <v>160</v>
      </c>
      <c r="E16" s="15" t="n">
        <f aca="false">COUNTIF(Backlog!$M$2:$M$350,$A16)</f>
        <v>21</v>
      </c>
      <c r="F16" s="15" t="n">
        <f aca="false">SUMIF(Backlog!$M$2:$M$350,$A16,Backlog!$L$2:$L$350)</f>
        <v>143</v>
      </c>
      <c r="G16" s="15" t="n">
        <f aca="false">D16-F16</f>
        <v>17</v>
      </c>
      <c r="H16" s="30" t="n">
        <f aca="false">IFERROR(F16/D16,0)</f>
        <v>0.89375</v>
      </c>
      <c r="I16" s="16" t="n">
        <f aca="false">F16*README!$B$32</f>
        <v>85.8</v>
      </c>
      <c r="J16" s="15" t="n">
        <f aca="false">COUNTIFS(Backlog!$M$2:$M$350,$A16,Backlog!$J$2:$J$350,"Must")</f>
        <v>19</v>
      </c>
      <c r="K16" s="15" t="n">
        <f aca="false">SUM($F$5:F16)</f>
        <v>923</v>
      </c>
      <c r="L16" s="30" t="n">
        <f aca="false">IFERROR(K16/SUM($F$5:$F$27),0)</f>
        <v>0.408407079646018</v>
      </c>
    </row>
    <row r="17" customFormat="false" ht="15" hidden="false" customHeight="false" outlineLevel="0" collapsed="false">
      <c r="A17" s="15" t="n">
        <v>13</v>
      </c>
      <c r="B17" s="28" t="str">
        <f aca="false">IF(A17&lt;=4,"R1 Foundation",IF(A17&lt;=8,"R2 Core Clinic",IF(A17&lt;=13,"R3 Revenue &amp; Messaging",IF(A17&lt;=18,"R4 Patient &amp; Platform",IF(A17&lt;=20,"R5 Harden","R6 Launch")))))</f>
        <v>R3 Revenue &amp; Messaging</v>
      </c>
      <c r="C17" s="29" t="n">
        <v>4</v>
      </c>
      <c r="D17" s="15" t="n">
        <f aca="false">C17*README!$B$31</f>
        <v>160</v>
      </c>
      <c r="E17" s="15" t="n">
        <f aca="false">COUNTIF(Backlog!$M$2:$M$350,$A17)</f>
        <v>21</v>
      </c>
      <c r="F17" s="15" t="n">
        <f aca="false">SUMIF(Backlog!$M$2:$M$350,$A17,Backlog!$L$2:$L$350)</f>
        <v>150</v>
      </c>
      <c r="G17" s="15" t="n">
        <f aca="false">D17-F17</f>
        <v>10</v>
      </c>
      <c r="H17" s="30" t="n">
        <f aca="false">IFERROR(F17/D17,0)</f>
        <v>0.9375</v>
      </c>
      <c r="I17" s="16" t="n">
        <f aca="false">F17*README!$B$32</f>
        <v>90</v>
      </c>
      <c r="J17" s="15" t="n">
        <f aca="false">COUNTIFS(Backlog!$M$2:$M$350,$A17,Backlog!$J$2:$J$350,"Must")</f>
        <v>20</v>
      </c>
      <c r="K17" s="15" t="n">
        <f aca="false">SUM($F$5:F17)</f>
        <v>1073</v>
      </c>
      <c r="L17" s="30" t="n">
        <f aca="false">IFERROR(K17/SUM($F$5:$F$27),0)</f>
        <v>0.474778761061947</v>
      </c>
    </row>
    <row r="18" customFormat="false" ht="15" hidden="false" customHeight="false" outlineLevel="0" collapsed="false">
      <c r="A18" s="15" t="n">
        <v>14</v>
      </c>
      <c r="B18" s="28" t="str">
        <f aca="false">IF(A18&lt;=4,"R1 Foundation",IF(A18&lt;=8,"R2 Core Clinic",IF(A18&lt;=13,"R3 Revenue &amp; Messaging",IF(A18&lt;=18,"R4 Patient &amp; Platform",IF(A18&lt;=20,"R5 Harden","R6 Launch")))))</f>
        <v>R4 Patient &amp; Platform</v>
      </c>
      <c r="C18" s="29" t="n">
        <v>5</v>
      </c>
      <c r="D18" s="15" t="n">
        <f aca="false">C18*README!$B$31</f>
        <v>200</v>
      </c>
      <c r="E18" s="15" t="n">
        <f aca="false">COUNTIF(Backlog!$M$2:$M$350,$A18)</f>
        <v>25</v>
      </c>
      <c r="F18" s="15" t="n">
        <f aca="false">SUMIF(Backlog!$M$2:$M$350,$A18,Backlog!$L$2:$L$350)</f>
        <v>175</v>
      </c>
      <c r="G18" s="15" t="n">
        <f aca="false">D18-F18</f>
        <v>25</v>
      </c>
      <c r="H18" s="30" t="n">
        <f aca="false">IFERROR(F18/D18,0)</f>
        <v>0.875</v>
      </c>
      <c r="I18" s="16" t="n">
        <f aca="false">F18*README!$B$32</f>
        <v>105</v>
      </c>
      <c r="J18" s="15" t="n">
        <f aca="false">COUNTIFS(Backlog!$M$2:$M$350,$A18,Backlog!$J$2:$J$350,"Must")</f>
        <v>22</v>
      </c>
      <c r="K18" s="15" t="n">
        <f aca="false">SUM($F$5:F18)</f>
        <v>1248</v>
      </c>
      <c r="L18" s="30" t="n">
        <f aca="false">IFERROR(K18/SUM($F$5:$F$27),0)</f>
        <v>0.552212389380531</v>
      </c>
    </row>
    <row r="19" customFormat="false" ht="15" hidden="false" customHeight="false" outlineLevel="0" collapsed="false">
      <c r="A19" s="15" t="n">
        <v>15</v>
      </c>
      <c r="B19" s="28" t="str">
        <f aca="false">IF(A19&lt;=4,"R1 Foundation",IF(A19&lt;=8,"R2 Core Clinic",IF(A19&lt;=13,"R3 Revenue &amp; Messaging",IF(A19&lt;=18,"R4 Patient &amp; Platform",IF(A19&lt;=20,"R5 Harden","R6 Launch")))))</f>
        <v>R4 Patient &amp; Platform</v>
      </c>
      <c r="C19" s="29" t="n">
        <v>5</v>
      </c>
      <c r="D19" s="15" t="n">
        <f aca="false">C19*README!$B$31</f>
        <v>200</v>
      </c>
      <c r="E19" s="15" t="n">
        <f aca="false">COUNTIF(Backlog!$M$2:$M$350,$A19)</f>
        <v>30</v>
      </c>
      <c r="F19" s="15" t="n">
        <f aca="false">SUMIF(Backlog!$M$2:$M$350,$A19,Backlog!$L$2:$L$350)</f>
        <v>184</v>
      </c>
      <c r="G19" s="15" t="n">
        <f aca="false">D19-F19</f>
        <v>16</v>
      </c>
      <c r="H19" s="30" t="n">
        <f aca="false">IFERROR(F19/D19,0)</f>
        <v>0.92</v>
      </c>
      <c r="I19" s="16" t="n">
        <f aca="false">F19*README!$B$32</f>
        <v>110.4</v>
      </c>
      <c r="J19" s="15" t="n">
        <f aca="false">COUNTIFS(Backlog!$M$2:$M$350,$A19,Backlog!$J$2:$J$350,"Must")</f>
        <v>25</v>
      </c>
      <c r="K19" s="15" t="n">
        <f aca="false">SUM($F$5:F19)</f>
        <v>1432</v>
      </c>
      <c r="L19" s="30" t="n">
        <f aca="false">IFERROR(K19/SUM($F$5:$F$27),0)</f>
        <v>0.633628318584071</v>
      </c>
    </row>
    <row r="20" customFormat="false" ht="15" hidden="false" customHeight="false" outlineLevel="0" collapsed="false">
      <c r="A20" s="15" t="n">
        <v>16</v>
      </c>
      <c r="B20" s="28" t="str">
        <f aca="false">IF(A20&lt;=4,"R1 Foundation",IF(A20&lt;=8,"R2 Core Clinic",IF(A20&lt;=13,"R3 Revenue &amp; Messaging",IF(A20&lt;=18,"R4 Patient &amp; Platform",IF(A20&lt;=20,"R5 Harden","R6 Launch")))))</f>
        <v>R4 Patient &amp; Platform</v>
      </c>
      <c r="C20" s="29" t="n">
        <v>5</v>
      </c>
      <c r="D20" s="15" t="n">
        <f aca="false">C20*README!$B$31</f>
        <v>200</v>
      </c>
      <c r="E20" s="15" t="n">
        <f aca="false">COUNTIF(Backlog!$M$2:$M$350,$A20)</f>
        <v>27</v>
      </c>
      <c r="F20" s="15" t="n">
        <f aca="false">SUMIF(Backlog!$M$2:$M$350,$A20,Backlog!$L$2:$L$350)</f>
        <v>168</v>
      </c>
      <c r="G20" s="15" t="n">
        <f aca="false">D20-F20</f>
        <v>32</v>
      </c>
      <c r="H20" s="30" t="n">
        <f aca="false">IFERROR(F20/D20,0)</f>
        <v>0.84</v>
      </c>
      <c r="I20" s="16" t="n">
        <f aca="false">F20*README!$B$32</f>
        <v>100.8</v>
      </c>
      <c r="J20" s="15" t="n">
        <f aca="false">COUNTIFS(Backlog!$M$2:$M$350,$A20,Backlog!$J$2:$J$350,"Must")</f>
        <v>21</v>
      </c>
      <c r="K20" s="15" t="n">
        <f aca="false">SUM($F$5:F20)</f>
        <v>1600</v>
      </c>
      <c r="L20" s="30" t="n">
        <f aca="false">IFERROR(K20/SUM($F$5:$F$27),0)</f>
        <v>0.707964601769912</v>
      </c>
    </row>
    <row r="21" customFormat="false" ht="15" hidden="false" customHeight="false" outlineLevel="0" collapsed="false">
      <c r="A21" s="15" t="n">
        <v>17</v>
      </c>
      <c r="B21" s="28" t="str">
        <f aca="false">IF(A21&lt;=4,"R1 Foundation",IF(A21&lt;=8,"R2 Core Clinic",IF(A21&lt;=13,"R3 Revenue &amp; Messaging",IF(A21&lt;=18,"R4 Patient &amp; Platform",IF(A21&lt;=20,"R5 Harden","R6 Launch")))))</f>
        <v>R4 Patient &amp; Platform</v>
      </c>
      <c r="C21" s="29" t="n">
        <v>5</v>
      </c>
      <c r="D21" s="15" t="n">
        <f aca="false">C21*README!$B$31</f>
        <v>200</v>
      </c>
      <c r="E21" s="15" t="n">
        <f aca="false">COUNTIF(Backlog!$M$2:$M$350,$A21)</f>
        <v>25</v>
      </c>
      <c r="F21" s="15" t="n">
        <f aca="false">SUMIF(Backlog!$M$2:$M$350,$A21,Backlog!$L$2:$L$350)</f>
        <v>173</v>
      </c>
      <c r="G21" s="15" t="n">
        <f aca="false">D21-F21</f>
        <v>27</v>
      </c>
      <c r="H21" s="30" t="n">
        <f aca="false">IFERROR(F21/D21,0)</f>
        <v>0.865</v>
      </c>
      <c r="I21" s="16" t="n">
        <f aca="false">F21*README!$B$32</f>
        <v>103.8</v>
      </c>
      <c r="J21" s="15" t="n">
        <f aca="false">COUNTIFS(Backlog!$M$2:$M$350,$A21,Backlog!$J$2:$J$350,"Must")</f>
        <v>12</v>
      </c>
      <c r="K21" s="15" t="n">
        <f aca="false">SUM($F$5:F21)</f>
        <v>1773</v>
      </c>
      <c r="L21" s="30" t="n">
        <f aca="false">IFERROR(K21/SUM($F$5:$F$27),0)</f>
        <v>0.784513274336283</v>
      </c>
    </row>
    <row r="22" customFormat="false" ht="15" hidden="false" customHeight="false" outlineLevel="0" collapsed="false">
      <c r="A22" s="15" t="n">
        <v>18</v>
      </c>
      <c r="B22" s="28" t="str">
        <f aca="false">IF(A22&lt;=4,"R1 Foundation",IF(A22&lt;=8,"R2 Core Clinic",IF(A22&lt;=13,"R3 Revenue &amp; Messaging",IF(A22&lt;=18,"R4 Patient &amp; Platform",IF(A22&lt;=20,"R5 Harden","R6 Launch")))))</f>
        <v>R4 Patient &amp; Platform</v>
      </c>
      <c r="C22" s="29" t="n">
        <v>5</v>
      </c>
      <c r="D22" s="15" t="n">
        <f aca="false">C22*README!$B$31</f>
        <v>200</v>
      </c>
      <c r="E22" s="15" t="n">
        <f aca="false">COUNTIF(Backlog!$M$2:$M$350,$A22)</f>
        <v>27</v>
      </c>
      <c r="F22" s="15" t="n">
        <f aca="false">SUMIF(Backlog!$M$2:$M$350,$A22,Backlog!$L$2:$L$350)</f>
        <v>173</v>
      </c>
      <c r="G22" s="15" t="n">
        <f aca="false">D22-F22</f>
        <v>27</v>
      </c>
      <c r="H22" s="30" t="n">
        <f aca="false">IFERROR(F22/D22,0)</f>
        <v>0.865</v>
      </c>
      <c r="I22" s="16" t="n">
        <f aca="false">F22*README!$B$32</f>
        <v>103.8</v>
      </c>
      <c r="J22" s="15" t="n">
        <f aca="false">COUNTIFS(Backlog!$M$2:$M$350,$A22,Backlog!$J$2:$J$350,"Must")</f>
        <v>12</v>
      </c>
      <c r="K22" s="15" t="n">
        <f aca="false">SUM($F$5:F22)</f>
        <v>1946</v>
      </c>
      <c r="L22" s="30" t="n">
        <f aca="false">IFERROR(K22/SUM($F$5:$F$27),0)</f>
        <v>0.861061946902655</v>
      </c>
    </row>
    <row r="23" customFormat="false" ht="15" hidden="false" customHeight="false" outlineLevel="0" collapsed="false">
      <c r="A23" s="15" t="n">
        <v>19</v>
      </c>
      <c r="B23" s="28" t="str">
        <f aca="false">IF(A23&lt;=4,"R1 Foundation",IF(A23&lt;=8,"R2 Core Clinic",IF(A23&lt;=13,"R3 Revenue &amp; Messaging",IF(A23&lt;=18,"R4 Patient &amp; Platform",IF(A23&lt;=20,"R5 Harden","R6 Launch")))))</f>
        <v>R5 Harden</v>
      </c>
      <c r="C23" s="29" t="n">
        <v>4</v>
      </c>
      <c r="D23" s="15" t="n">
        <f aca="false">C23*README!$B$31</f>
        <v>160</v>
      </c>
      <c r="E23" s="15" t="n">
        <f aca="false">COUNTIF(Backlog!$M$2:$M$350,$A23)</f>
        <v>23</v>
      </c>
      <c r="F23" s="15" t="n">
        <f aca="false">SUMIF(Backlog!$M$2:$M$350,$A23,Backlog!$L$2:$L$350)</f>
        <v>137</v>
      </c>
      <c r="G23" s="15" t="n">
        <f aca="false">D23-F23</f>
        <v>23</v>
      </c>
      <c r="H23" s="30" t="n">
        <f aca="false">IFERROR(F23/D23,0)</f>
        <v>0.85625</v>
      </c>
      <c r="I23" s="16" t="n">
        <f aca="false">F23*README!$B$32</f>
        <v>82.2</v>
      </c>
      <c r="J23" s="15" t="n">
        <f aca="false">COUNTIFS(Backlog!$M$2:$M$350,$A23,Backlog!$J$2:$J$350,"Must")</f>
        <v>5</v>
      </c>
      <c r="K23" s="15" t="n">
        <f aca="false">SUM($F$5:F23)</f>
        <v>2083</v>
      </c>
      <c r="L23" s="30" t="n">
        <f aca="false">IFERROR(K23/SUM($F$5:$F$27),0)</f>
        <v>0.921681415929204</v>
      </c>
    </row>
    <row r="24" customFormat="false" ht="15" hidden="false" customHeight="false" outlineLevel="0" collapsed="false">
      <c r="A24" s="15" t="n">
        <v>20</v>
      </c>
      <c r="B24" s="28" t="str">
        <f aca="false">IF(A24&lt;=4,"R1 Foundation",IF(A24&lt;=8,"R2 Core Clinic",IF(A24&lt;=13,"R3 Revenue &amp; Messaging",IF(A24&lt;=18,"R4 Patient &amp; Platform",IF(A24&lt;=20,"R5 Harden","R6 Launch")))))</f>
        <v>R5 Harden</v>
      </c>
      <c r="C24" s="29" t="n">
        <v>3</v>
      </c>
      <c r="D24" s="15" t="n">
        <f aca="false">C24*README!$B$31</f>
        <v>120</v>
      </c>
      <c r="E24" s="15" t="n">
        <f aca="false">COUNTIF(Backlog!$M$2:$M$350,$A24)</f>
        <v>16</v>
      </c>
      <c r="F24" s="15" t="n">
        <f aca="false">SUMIF(Backlog!$M$2:$M$350,$A24,Backlog!$L$2:$L$350)</f>
        <v>103</v>
      </c>
      <c r="G24" s="15" t="n">
        <f aca="false">D24-F24</f>
        <v>17</v>
      </c>
      <c r="H24" s="30" t="n">
        <f aca="false">IFERROR(F24/D24,0)</f>
        <v>0.858333333333333</v>
      </c>
      <c r="I24" s="16" t="n">
        <f aca="false">F24*README!$B$32</f>
        <v>61.8</v>
      </c>
      <c r="J24" s="15" t="n">
        <f aca="false">COUNTIFS(Backlog!$M$2:$M$350,$A24,Backlog!$J$2:$J$350,"Must")</f>
        <v>4</v>
      </c>
      <c r="K24" s="15" t="n">
        <f aca="false">SUM($F$5:F24)</f>
        <v>2186</v>
      </c>
      <c r="L24" s="30" t="n">
        <f aca="false">IFERROR(K24/SUM($F$5:$F$27),0)</f>
        <v>0.967256637168142</v>
      </c>
    </row>
    <row r="25" customFormat="false" ht="15" hidden="false" customHeight="false" outlineLevel="0" collapsed="false">
      <c r="A25" s="15" t="n">
        <v>21</v>
      </c>
      <c r="B25" s="28" t="str">
        <f aca="false">IF(A25&lt;=4,"R1 Foundation",IF(A25&lt;=8,"R2 Core Clinic",IF(A25&lt;=13,"R3 Revenue &amp; Messaging",IF(A25&lt;=18,"R4 Patient &amp; Platform",IF(A25&lt;=20,"R5 Harden","R6 Launch")))))</f>
        <v>R6 Launch</v>
      </c>
      <c r="C25" s="29" t="n">
        <v>2</v>
      </c>
      <c r="D25" s="15" t="n">
        <f aca="false">C25*README!$B$31</f>
        <v>80</v>
      </c>
      <c r="E25" s="15" t="n">
        <f aca="false">COUNTIF(Backlog!$M$2:$M$350,$A25)</f>
        <v>4</v>
      </c>
      <c r="F25" s="15" t="n">
        <f aca="false">SUMIF(Backlog!$M$2:$M$350,$A25,Backlog!$L$2:$L$350)</f>
        <v>29</v>
      </c>
      <c r="G25" s="15" t="n">
        <f aca="false">D25-F25</f>
        <v>51</v>
      </c>
      <c r="H25" s="30" t="n">
        <f aca="false">IFERROR(F25/D25,0)</f>
        <v>0.3625</v>
      </c>
      <c r="I25" s="16" t="n">
        <f aca="false">F25*README!$B$32</f>
        <v>17.4</v>
      </c>
      <c r="J25" s="15" t="n">
        <f aca="false">COUNTIFS(Backlog!$M$2:$M$350,$A25,Backlog!$J$2:$J$350,"Must")</f>
        <v>1</v>
      </c>
      <c r="K25" s="15" t="n">
        <f aca="false">SUM($F$5:F25)</f>
        <v>2215</v>
      </c>
      <c r="L25" s="30" t="n">
        <f aca="false">IFERROR(K25/SUM($F$5:$F$27),0)</f>
        <v>0.980088495575221</v>
      </c>
    </row>
    <row r="26" customFormat="false" ht="15" hidden="false" customHeight="false" outlineLevel="0" collapsed="false">
      <c r="A26" s="15" t="n">
        <v>22</v>
      </c>
      <c r="B26" s="28" t="str">
        <f aca="false">IF(A26&lt;=4,"R1 Foundation",IF(A26&lt;=8,"R2 Core Clinic",IF(A26&lt;=13,"R3 Revenue &amp; Messaging",IF(A26&lt;=18,"R4 Patient &amp; Platform",IF(A26&lt;=20,"R5 Harden","R6 Launch")))))</f>
        <v>R6 Launch</v>
      </c>
      <c r="C26" s="29" t="n">
        <v>2</v>
      </c>
      <c r="D26" s="15" t="n">
        <f aca="false">C26*README!$B$31</f>
        <v>80</v>
      </c>
      <c r="E26" s="15" t="n">
        <f aca="false">COUNTIF(Backlog!$M$2:$M$350,$A26)</f>
        <v>7</v>
      </c>
      <c r="F26" s="15" t="n">
        <f aca="false">SUMIF(Backlog!$M$2:$M$350,$A26,Backlog!$L$2:$L$350)</f>
        <v>40</v>
      </c>
      <c r="G26" s="15" t="n">
        <f aca="false">D26-F26</f>
        <v>40</v>
      </c>
      <c r="H26" s="30" t="n">
        <f aca="false">IFERROR(F26/D26,0)</f>
        <v>0.5</v>
      </c>
      <c r="I26" s="16" t="n">
        <f aca="false">F26*README!$B$32</f>
        <v>24</v>
      </c>
      <c r="J26" s="15" t="n">
        <f aca="false">COUNTIFS(Backlog!$M$2:$M$350,$A26,Backlog!$J$2:$J$350,"Must")</f>
        <v>4</v>
      </c>
      <c r="K26" s="15" t="n">
        <f aca="false">SUM($F$5:F26)</f>
        <v>2255</v>
      </c>
      <c r="L26" s="30" t="n">
        <f aca="false">IFERROR(K26/SUM($F$5:$F$27),0)</f>
        <v>0.997787610619469</v>
      </c>
    </row>
    <row r="27" customFormat="false" ht="15" hidden="false" customHeight="false" outlineLevel="0" collapsed="false">
      <c r="A27" s="15" t="n">
        <v>23</v>
      </c>
      <c r="B27" s="28" t="str">
        <f aca="false">IF(A27&lt;=4,"R1 Foundation",IF(A27&lt;=8,"R2 Core Clinic",IF(A27&lt;=13,"R3 Revenue &amp; Messaging",IF(A27&lt;=18,"R4 Patient &amp; Platform",IF(A27&lt;=20,"R5 Harden","R6 Launch")))))</f>
        <v>R6 Launch</v>
      </c>
      <c r="C27" s="29" t="n">
        <v>2</v>
      </c>
      <c r="D27" s="15" t="n">
        <f aca="false">C27*README!$B$31</f>
        <v>80</v>
      </c>
      <c r="E27" s="15" t="n">
        <f aca="false">COUNTIF(Backlog!$M$2:$M$350,$A27)</f>
        <v>1</v>
      </c>
      <c r="F27" s="15" t="n">
        <f aca="false">SUMIF(Backlog!$M$2:$M$350,$A27,Backlog!$L$2:$L$350)</f>
        <v>5</v>
      </c>
      <c r="G27" s="15" t="n">
        <f aca="false">D27-F27</f>
        <v>75</v>
      </c>
      <c r="H27" s="30" t="n">
        <f aca="false">IFERROR(F27/D27,0)</f>
        <v>0.0625</v>
      </c>
      <c r="I27" s="16" t="n">
        <f aca="false">F27*README!$B$32</f>
        <v>3</v>
      </c>
      <c r="J27" s="15" t="n">
        <f aca="false">COUNTIFS(Backlog!$M$2:$M$350,$A27,Backlog!$J$2:$J$350,"Must")</f>
        <v>1</v>
      </c>
      <c r="K27" s="15" t="n">
        <f aca="false">SUM($F$5:F27)</f>
        <v>2260</v>
      </c>
      <c r="L27" s="30" t="n">
        <f aca="false">IFERROR(K27/SUM($F$5:$F$27),0)</f>
        <v>1</v>
      </c>
    </row>
    <row r="28" customFormat="false" ht="15" hidden="false" customHeight="false" outlineLevel="0" collapsed="false">
      <c r="A28" s="25" t="s">
        <v>1978</v>
      </c>
      <c r="B28" s="31"/>
      <c r="C28" s="31"/>
      <c r="D28" s="25" t="n">
        <f aca="false">SUM(D5:D27)</f>
        <v>2880</v>
      </c>
      <c r="E28" s="25" t="n">
        <f aca="false">SUM(E5:E27)</f>
        <v>349</v>
      </c>
      <c r="F28" s="25" t="n">
        <f aca="false">SUM(F5:F27)</f>
        <v>2260</v>
      </c>
      <c r="G28" s="31"/>
      <c r="H28" s="32" t="n">
        <f aca="false">IFERROR(F28/D28,0)</f>
        <v>0.784722222222222</v>
      </c>
      <c r="I28" s="27" t="n">
        <f aca="false">SUM(I5:I27)</f>
        <v>1356</v>
      </c>
      <c r="J28" s="25" t="n">
        <f aca="false">SUM(J5:J27)</f>
        <v>264</v>
      </c>
      <c r="K28" s="31"/>
      <c r="L28" s="31"/>
    </row>
    <row r="30" customFormat="false" ht="15" hidden="false" customHeight="false" outlineLevel="0" collapsed="false">
      <c r="A30" s="5" t="s">
        <v>2320</v>
      </c>
    </row>
    <row r="31" customFormat="false" ht="15" hidden="false" customHeight="false" outlineLevel="0" collapsed="false">
      <c r="A31" s="4" t="s">
        <v>2321</v>
      </c>
      <c r="D31" s="33" t="n">
        <f aca="false">README!$B$30*23</f>
        <v>46</v>
      </c>
    </row>
    <row r="32" customFormat="false" ht="15" hidden="false" customHeight="false" outlineLevel="0" collapsed="false">
      <c r="A32" s="4" t="s">
        <v>2322</v>
      </c>
      <c r="D32" s="20" t="n">
        <f aca="false">D31/4.345</f>
        <v>10.5868814729574</v>
      </c>
    </row>
    <row r="33" customFormat="false" ht="15" hidden="false" customHeight="false" outlineLevel="0" collapsed="false">
      <c r="A33" s="4" t="s">
        <v>47</v>
      </c>
      <c r="D33" s="34" t="n">
        <f aca="false">MAX(C5:C27)</f>
        <v>5</v>
      </c>
    </row>
    <row r="34" customFormat="false" ht="15" hidden="false" customHeight="false" outlineLevel="0" collapsed="false">
      <c r="A34" s="4" t="s">
        <v>2323</v>
      </c>
      <c r="D34" s="34" t="n">
        <f aca="false">D33*6</f>
        <v>30</v>
      </c>
    </row>
    <row r="35" customFormat="false" ht="15" hidden="false" customHeight="false" outlineLevel="0" collapsed="false">
      <c r="A35" s="4" t="s">
        <v>2324</v>
      </c>
      <c r="D35" s="33" t="n">
        <f aca="false">I28*README!$B$33</f>
        <v>0</v>
      </c>
    </row>
  </sheetData>
  <conditionalFormatting sqref="F5:F27">
    <cfRule type="expression" priority="2" aboveAverage="0" equalAverage="0" bottom="0" percent="0" rank="0" text="" dxfId="13">
      <formula>$F5&gt;$D5</formula>
    </cfRule>
  </conditionalFormatting>
  <conditionalFormatting sqref="G5:G27">
    <cfRule type="cellIs" priority="3" operator="lessThan" aboveAverage="0" equalAverage="0" bottom="0" percent="0" rank="0" text="" dxfId="9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60"/>
    <col collapsed="false" customWidth="true" hidden="false" outlineLevel="0" max="3" min="3" style="0" width="9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16"/>
    <col collapsed="false" customWidth="true" hidden="false" outlineLevel="0" max="8" min="7" style="0" width="12"/>
  </cols>
  <sheetData>
    <row r="1" customFormat="false" ht="19.7" hidden="false" customHeight="false" outlineLevel="0" collapsed="false">
      <c r="A1" s="1" t="s">
        <v>2325</v>
      </c>
    </row>
    <row r="2" customFormat="false" ht="15" hidden="false" customHeight="false" outlineLevel="0" collapsed="false">
      <c r="A2" s="14" t="s">
        <v>2326</v>
      </c>
    </row>
    <row r="4" customFormat="false" ht="15" hidden="false" customHeight="false" outlineLevel="0" collapsed="false">
      <c r="A4" s="8" t="s">
        <v>80</v>
      </c>
      <c r="B4" s="8" t="s">
        <v>2327</v>
      </c>
      <c r="C4" s="8" t="s">
        <v>2305</v>
      </c>
      <c r="D4" s="8" t="s">
        <v>84</v>
      </c>
      <c r="E4" s="8" t="s">
        <v>2328</v>
      </c>
      <c r="F4" s="8" t="s">
        <v>87</v>
      </c>
      <c r="G4" s="8" t="s">
        <v>2307</v>
      </c>
      <c r="H4" s="8" t="s">
        <v>2308</v>
      </c>
    </row>
    <row r="5" customFormat="false" ht="23.85" hidden="false" customHeight="false" outlineLevel="0" collapsed="false">
      <c r="A5" s="13" t="s">
        <v>99</v>
      </c>
      <c r="B5" s="11" t="s">
        <v>2329</v>
      </c>
      <c r="C5" s="15" t="n">
        <f aca="false">COUNTIF(Backlog!$H$2:$H$350,$A5)</f>
        <v>122</v>
      </c>
      <c r="D5" s="15" t="n">
        <f aca="false">SUMIF(Backlog!$H$2:$H$350,$A5,Backlog!$L$2:$L$350)</f>
        <v>754</v>
      </c>
      <c r="E5" s="23" t="n">
        <f aca="false">IFERROR(D5/$D$9,0)</f>
        <v>0.333628318584071</v>
      </c>
      <c r="F5" s="16" t="n">
        <f aca="false">D5*README!$B$32</f>
        <v>452.4</v>
      </c>
      <c r="G5" s="15" t="n">
        <f aca="false">_xlfn.MINIFS(Backlog!$M$2:$M$350,Backlog!$H$2:$H$350,$A5)</f>
        <v>1</v>
      </c>
      <c r="H5" s="15" t="n">
        <f aca="false">_xlfn.MAXIFS(Backlog!$M$2:$M$350,Backlog!$H$2:$H$350,$A5)</f>
        <v>23</v>
      </c>
    </row>
    <row r="6" customFormat="false" ht="23.85" hidden="false" customHeight="false" outlineLevel="0" collapsed="false">
      <c r="A6" s="13" t="s">
        <v>291</v>
      </c>
      <c r="B6" s="11" t="s">
        <v>2330</v>
      </c>
      <c r="C6" s="15" t="n">
        <f aca="false">COUNTIF(Backlog!$H$2:$H$350,$A6)</f>
        <v>143</v>
      </c>
      <c r="D6" s="15" t="n">
        <f aca="false">SUMIF(Backlog!$H$2:$H$350,$A6,Backlog!$L$2:$L$350)</f>
        <v>939</v>
      </c>
      <c r="E6" s="23" t="n">
        <f aca="false">IFERROR(D6/$D$9,0)</f>
        <v>0.415486725663717</v>
      </c>
      <c r="F6" s="16" t="n">
        <f aca="false">D6*README!$B$32</f>
        <v>563.4</v>
      </c>
      <c r="G6" s="15" t="n">
        <f aca="false">_xlfn.MINIFS(Backlog!$M$2:$M$350,Backlog!$H$2:$H$350,$A6)</f>
        <v>4</v>
      </c>
      <c r="H6" s="15" t="n">
        <f aca="false">_xlfn.MAXIFS(Backlog!$M$2:$M$350,Backlog!$H$2:$H$350,$A6)</f>
        <v>22</v>
      </c>
    </row>
    <row r="7" customFormat="false" ht="23.85" hidden="false" customHeight="false" outlineLevel="0" collapsed="false">
      <c r="A7" s="13" t="s">
        <v>310</v>
      </c>
      <c r="B7" s="11" t="s">
        <v>2331</v>
      </c>
      <c r="C7" s="15" t="n">
        <f aca="false">COUNTIF(Backlog!$H$2:$H$350,$A7)</f>
        <v>55</v>
      </c>
      <c r="D7" s="15" t="n">
        <f aca="false">SUMIF(Backlog!$H$2:$H$350,$A7,Backlog!$L$2:$L$350)</f>
        <v>371</v>
      </c>
      <c r="E7" s="23" t="n">
        <f aca="false">IFERROR(D7/$D$9,0)</f>
        <v>0.164159292035398</v>
      </c>
      <c r="F7" s="16" t="n">
        <f aca="false">D7*README!$B$32</f>
        <v>222.6</v>
      </c>
      <c r="G7" s="15" t="n">
        <f aca="false">_xlfn.MINIFS(Backlog!$M$2:$M$350,Backlog!$H$2:$H$350,$A7)</f>
        <v>9</v>
      </c>
      <c r="H7" s="15" t="n">
        <f aca="false">_xlfn.MAXIFS(Backlog!$M$2:$M$350,Backlog!$H$2:$H$350,$A7)</f>
        <v>22</v>
      </c>
    </row>
    <row r="8" customFormat="false" ht="23.85" hidden="false" customHeight="false" outlineLevel="0" collapsed="false">
      <c r="A8" s="13" t="s">
        <v>107</v>
      </c>
      <c r="B8" s="11" t="s">
        <v>2332</v>
      </c>
      <c r="C8" s="15" t="n">
        <f aca="false">COUNTIF(Backlog!$H$2:$H$350,$A8)</f>
        <v>29</v>
      </c>
      <c r="D8" s="15" t="n">
        <f aca="false">SUMIF(Backlog!$H$2:$H$350,$A8,Backlog!$L$2:$L$350)</f>
        <v>196</v>
      </c>
      <c r="E8" s="23" t="n">
        <f aca="false">IFERROR(D8/$D$9,0)</f>
        <v>0.0867256637168142</v>
      </c>
      <c r="F8" s="16" t="n">
        <f aca="false">D8*README!$B$32</f>
        <v>117.6</v>
      </c>
      <c r="G8" s="15" t="n">
        <f aca="false">_xlfn.MINIFS(Backlog!$M$2:$M$350,Backlog!$H$2:$H$350,$A8)</f>
        <v>6</v>
      </c>
      <c r="H8" s="15" t="n">
        <f aca="false">_xlfn.MAXIFS(Backlog!$M$2:$M$350,Backlog!$H$2:$H$350,$A8)</f>
        <v>22</v>
      </c>
    </row>
    <row r="9" customFormat="false" ht="15" hidden="false" customHeight="false" outlineLevel="0" collapsed="false">
      <c r="A9" s="24" t="s">
        <v>1978</v>
      </c>
      <c r="B9" s="35"/>
      <c r="C9" s="24" t="n">
        <f aca="false">SUM(C5:C8)</f>
        <v>349</v>
      </c>
      <c r="D9" s="24" t="n">
        <f aca="false">SUM(D5:D8)</f>
        <v>2260</v>
      </c>
      <c r="E9" s="36" t="n">
        <f aca="false">SUM(E5:E8)</f>
        <v>1</v>
      </c>
      <c r="F9" s="37" t="n">
        <f aca="false">SUM(F5:F8)</f>
        <v>1356</v>
      </c>
      <c r="G9" s="35"/>
      <c r="H9" s="3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4"/>
    <col collapsed="false" customWidth="true" hidden="false" outlineLevel="0" max="5" min="3" style="0" width="9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17"/>
    <col collapsed="false" customWidth="true" hidden="false" outlineLevel="0" max="9" min="9" style="0" width="9"/>
    <col collapsed="false" customWidth="true" hidden="false" outlineLevel="0" max="10" min="10" style="0" width="58"/>
  </cols>
  <sheetData>
    <row r="1" customFormat="false" ht="19.7" hidden="false" customHeight="false" outlineLevel="0" collapsed="false">
      <c r="A1" s="1" t="s">
        <v>2333</v>
      </c>
    </row>
    <row r="2" customFormat="false" ht="15" hidden="false" customHeight="false" outlineLevel="0" collapsed="false">
      <c r="A2" s="14" t="s">
        <v>2334</v>
      </c>
    </row>
    <row r="3" customFormat="false" ht="15" hidden="false" customHeight="false" outlineLevel="0" collapsed="false">
      <c r="A3" s="38" t="s">
        <v>2335</v>
      </c>
    </row>
    <row r="5" customFormat="false" ht="15" hidden="false" customHeight="false" outlineLevel="0" collapsed="false">
      <c r="A5" s="8" t="s">
        <v>2336</v>
      </c>
      <c r="B5" s="8" t="s">
        <v>75</v>
      </c>
      <c r="C5" s="8" t="s">
        <v>2337</v>
      </c>
      <c r="D5" s="8" t="s">
        <v>2338</v>
      </c>
      <c r="E5" s="8" t="s">
        <v>2339</v>
      </c>
      <c r="F5" s="8" t="s">
        <v>2340</v>
      </c>
      <c r="G5" s="8" t="s">
        <v>2341</v>
      </c>
      <c r="H5" s="8" t="s">
        <v>2342</v>
      </c>
      <c r="I5" s="8" t="s">
        <v>2343</v>
      </c>
      <c r="J5" s="8" t="s">
        <v>2344</v>
      </c>
    </row>
    <row r="6" customFormat="false" ht="15" hidden="false" customHeight="false" outlineLevel="0" collapsed="false">
      <c r="A6" s="24" t="s">
        <v>2345</v>
      </c>
      <c r="B6" s="39" t="s">
        <v>481</v>
      </c>
      <c r="C6" s="40" t="s">
        <v>2346</v>
      </c>
      <c r="D6" s="40" t="s">
        <v>2346</v>
      </c>
      <c r="E6" s="40" t="s">
        <v>2346</v>
      </c>
      <c r="F6" s="40" t="s">
        <v>2346</v>
      </c>
      <c r="G6" s="40" t="s">
        <v>2346</v>
      </c>
      <c r="H6" s="41" t="s">
        <v>2347</v>
      </c>
      <c r="I6" s="40" t="s">
        <v>2346</v>
      </c>
      <c r="J6" s="42"/>
    </row>
    <row r="7" customFormat="false" ht="15" hidden="false" customHeight="false" outlineLevel="0" collapsed="false">
      <c r="A7" s="9"/>
      <c r="B7" s="9" t="s">
        <v>2348</v>
      </c>
      <c r="C7" s="40" t="s">
        <v>2346</v>
      </c>
      <c r="D7" s="40" t="s">
        <v>2346</v>
      </c>
      <c r="E7" s="40" t="s">
        <v>2346</v>
      </c>
      <c r="F7" s="40" t="s">
        <v>2346</v>
      </c>
      <c r="G7" s="40" t="s">
        <v>2346</v>
      </c>
      <c r="H7" s="41" t="s">
        <v>2347</v>
      </c>
      <c r="I7" s="40" t="s">
        <v>2346</v>
      </c>
      <c r="J7" s="42"/>
    </row>
    <row r="8" customFormat="false" ht="15" hidden="false" customHeight="false" outlineLevel="0" collapsed="false">
      <c r="A8" s="9"/>
      <c r="B8" s="9" t="s">
        <v>2349</v>
      </c>
      <c r="C8" s="40" t="s">
        <v>2346</v>
      </c>
      <c r="D8" s="43" t="s">
        <v>2350</v>
      </c>
      <c r="E8" s="43" t="s">
        <v>2350</v>
      </c>
      <c r="F8" s="40" t="s">
        <v>2346</v>
      </c>
      <c r="G8" s="40" t="s">
        <v>2346</v>
      </c>
      <c r="H8" s="41" t="s">
        <v>2347</v>
      </c>
      <c r="I8" s="40" t="s">
        <v>2346</v>
      </c>
      <c r="J8" s="42"/>
    </row>
    <row r="9" customFormat="false" ht="15" hidden="false" customHeight="false" outlineLevel="0" collapsed="false">
      <c r="A9" s="9"/>
      <c r="B9" s="9" t="s">
        <v>2351</v>
      </c>
      <c r="C9" s="40" t="s">
        <v>2346</v>
      </c>
      <c r="D9" s="40" t="s">
        <v>2346</v>
      </c>
      <c r="E9" s="40" t="s">
        <v>2346</v>
      </c>
      <c r="F9" s="40" t="s">
        <v>2346</v>
      </c>
      <c r="G9" s="40" t="s">
        <v>2346</v>
      </c>
      <c r="H9" s="40" t="s">
        <v>2346</v>
      </c>
      <c r="I9" s="40" t="s">
        <v>2346</v>
      </c>
      <c r="J9" s="42"/>
    </row>
    <row r="10" customFormat="false" ht="15" hidden="false" customHeight="false" outlineLevel="0" collapsed="false">
      <c r="A10" s="9"/>
      <c r="B10" s="9" t="s">
        <v>916</v>
      </c>
      <c r="C10" s="40" t="s">
        <v>2346</v>
      </c>
      <c r="D10" s="40" t="s">
        <v>2346</v>
      </c>
      <c r="E10" s="40" t="s">
        <v>2346</v>
      </c>
      <c r="F10" s="40" t="s">
        <v>2346</v>
      </c>
      <c r="G10" s="40" t="s">
        <v>2346</v>
      </c>
      <c r="H10" s="40" t="s">
        <v>2346</v>
      </c>
      <c r="I10" s="40" t="s">
        <v>2346</v>
      </c>
      <c r="J10" s="42"/>
    </row>
    <row r="11" customFormat="false" ht="22.35" hidden="false" customHeight="false" outlineLevel="0" collapsed="false">
      <c r="A11" s="9"/>
      <c r="B11" s="9" t="s">
        <v>1060</v>
      </c>
      <c r="C11" s="44" t="s">
        <v>2352</v>
      </c>
      <c r="D11" s="44" t="s">
        <v>2352</v>
      </c>
      <c r="E11" s="44" t="s">
        <v>2352</v>
      </c>
      <c r="F11" s="44" t="s">
        <v>2352</v>
      </c>
      <c r="G11" s="44" t="s">
        <v>2352</v>
      </c>
      <c r="H11" s="44" t="s">
        <v>2352</v>
      </c>
      <c r="I11" s="44" t="s">
        <v>2352</v>
      </c>
      <c r="J11" s="42" t="s">
        <v>2353</v>
      </c>
    </row>
    <row r="12" customFormat="false" ht="15" hidden="false" customHeight="false" outlineLevel="0" collapsed="false">
      <c r="A12" s="9"/>
      <c r="B12" s="9" t="s">
        <v>1347</v>
      </c>
      <c r="C12" s="40" t="s">
        <v>2346</v>
      </c>
      <c r="D12" s="41" t="s">
        <v>2347</v>
      </c>
      <c r="E12" s="41" t="s">
        <v>2347</v>
      </c>
      <c r="F12" s="41" t="s">
        <v>2347</v>
      </c>
      <c r="G12" s="40" t="s">
        <v>2346</v>
      </c>
      <c r="H12" s="41" t="s">
        <v>2347</v>
      </c>
      <c r="I12" s="40" t="s">
        <v>2346</v>
      </c>
      <c r="J12" s="42"/>
    </row>
    <row r="13" customFormat="false" ht="15" hidden="false" customHeight="false" outlineLevel="0" collapsed="false">
      <c r="A13" s="9"/>
      <c r="B13" s="9" t="s">
        <v>2354</v>
      </c>
      <c r="C13" s="40" t="s">
        <v>2346</v>
      </c>
      <c r="D13" s="40" t="s">
        <v>2346</v>
      </c>
      <c r="E13" s="40" t="s">
        <v>2346</v>
      </c>
      <c r="F13" s="40" t="s">
        <v>2346</v>
      </c>
      <c r="G13" s="40" t="s">
        <v>2346</v>
      </c>
      <c r="H13" s="41" t="s">
        <v>2347</v>
      </c>
      <c r="I13" s="40" t="s">
        <v>2346</v>
      </c>
      <c r="J13" s="42"/>
    </row>
    <row r="14" customFormat="false" ht="15" hidden="false" customHeight="false" outlineLevel="0" collapsed="false">
      <c r="A14" s="9"/>
      <c r="B14" s="9" t="s">
        <v>2355</v>
      </c>
      <c r="C14" s="40" t="s">
        <v>2346</v>
      </c>
      <c r="D14" s="41" t="s">
        <v>2347</v>
      </c>
      <c r="E14" s="40" t="s">
        <v>2346</v>
      </c>
      <c r="F14" s="41" t="s">
        <v>2347</v>
      </c>
      <c r="G14" s="41" t="s">
        <v>2347</v>
      </c>
      <c r="H14" s="41" t="s">
        <v>2347</v>
      </c>
      <c r="I14" s="40" t="s">
        <v>2346</v>
      </c>
      <c r="J14" s="42"/>
    </row>
    <row r="15" customFormat="false" ht="15" hidden="false" customHeight="false" outlineLevel="0" collapsed="false">
      <c r="A15" s="9"/>
      <c r="B15" s="9" t="s">
        <v>2356</v>
      </c>
      <c r="C15" s="40" t="s">
        <v>2346</v>
      </c>
      <c r="D15" s="41" t="s">
        <v>2347</v>
      </c>
      <c r="E15" s="41" t="s">
        <v>2347</v>
      </c>
      <c r="F15" s="40" t="s">
        <v>2346</v>
      </c>
      <c r="G15" s="40" t="s">
        <v>2346</v>
      </c>
      <c r="H15" s="41" t="s">
        <v>2347</v>
      </c>
      <c r="I15" s="40" t="s">
        <v>2346</v>
      </c>
      <c r="J15" s="42"/>
    </row>
    <row r="16" customFormat="false" ht="22.35" hidden="false" customHeight="false" outlineLevel="0" collapsed="false">
      <c r="A16" s="24" t="s">
        <v>374</v>
      </c>
      <c r="B16" s="39" t="s">
        <v>481</v>
      </c>
      <c r="C16" s="40" t="s">
        <v>2346</v>
      </c>
      <c r="D16" s="40" t="s">
        <v>2346</v>
      </c>
      <c r="E16" s="40" t="s">
        <v>2346</v>
      </c>
      <c r="F16" s="41" t="s">
        <v>2347</v>
      </c>
      <c r="G16" s="43" t="s">
        <v>2350</v>
      </c>
      <c r="H16" s="41" t="s">
        <v>2347</v>
      </c>
      <c r="I16" s="41" t="s">
        <v>2347</v>
      </c>
      <c r="J16" s="42" t="s">
        <v>2357</v>
      </c>
    </row>
    <row r="17" customFormat="false" ht="15" hidden="false" customHeight="false" outlineLevel="0" collapsed="false">
      <c r="A17" s="9"/>
      <c r="B17" s="9" t="s">
        <v>2348</v>
      </c>
      <c r="C17" s="40" t="s">
        <v>2346</v>
      </c>
      <c r="D17" s="41" t="s">
        <v>2347</v>
      </c>
      <c r="E17" s="40" t="s">
        <v>2346</v>
      </c>
      <c r="F17" s="41" t="s">
        <v>2347</v>
      </c>
      <c r="G17" s="41" t="s">
        <v>2347</v>
      </c>
      <c r="H17" s="41" t="s">
        <v>2347</v>
      </c>
      <c r="I17" s="41" t="s">
        <v>2347</v>
      </c>
      <c r="J17" s="42"/>
    </row>
    <row r="18" customFormat="false" ht="15" hidden="false" customHeight="false" outlineLevel="0" collapsed="false">
      <c r="A18" s="9"/>
      <c r="B18" s="9" t="s">
        <v>2349</v>
      </c>
      <c r="C18" s="40" t="s">
        <v>2346</v>
      </c>
      <c r="D18" s="40" t="s">
        <v>2346</v>
      </c>
      <c r="E18" s="40" t="s">
        <v>2346</v>
      </c>
      <c r="F18" s="40" t="s">
        <v>2346</v>
      </c>
      <c r="G18" s="43" t="s">
        <v>2350</v>
      </c>
      <c r="H18" s="41" t="s">
        <v>2347</v>
      </c>
      <c r="I18" s="41" t="s">
        <v>2347</v>
      </c>
      <c r="J18" s="42"/>
    </row>
    <row r="19" customFormat="false" ht="15" hidden="false" customHeight="false" outlineLevel="0" collapsed="false">
      <c r="A19" s="9"/>
      <c r="B19" s="9" t="s">
        <v>2351</v>
      </c>
      <c r="C19" s="40" t="s">
        <v>2346</v>
      </c>
      <c r="D19" s="41" t="s">
        <v>2347</v>
      </c>
      <c r="E19" s="41" t="s">
        <v>2347</v>
      </c>
      <c r="F19" s="41" t="s">
        <v>2347</v>
      </c>
      <c r="G19" s="41" t="s">
        <v>2347</v>
      </c>
      <c r="H19" s="41" t="s">
        <v>2347</v>
      </c>
      <c r="I19" s="41" t="s">
        <v>2347</v>
      </c>
      <c r="J19" s="42"/>
    </row>
    <row r="20" customFormat="false" ht="15" hidden="false" customHeight="false" outlineLevel="0" collapsed="false">
      <c r="A20" s="9"/>
      <c r="B20" s="9" t="s">
        <v>916</v>
      </c>
      <c r="C20" s="40" t="s">
        <v>2346</v>
      </c>
      <c r="D20" s="40" t="s">
        <v>2346</v>
      </c>
      <c r="E20" s="40" t="s">
        <v>2346</v>
      </c>
      <c r="F20" s="41" t="s">
        <v>2347</v>
      </c>
      <c r="G20" s="41" t="s">
        <v>2347</v>
      </c>
      <c r="H20" s="41" t="s">
        <v>2347</v>
      </c>
      <c r="I20" s="41" t="s">
        <v>2347</v>
      </c>
      <c r="J20" s="42"/>
    </row>
    <row r="21" customFormat="false" ht="22.35" hidden="false" customHeight="false" outlineLevel="0" collapsed="false">
      <c r="A21" s="9"/>
      <c r="B21" s="9" t="s">
        <v>1060</v>
      </c>
      <c r="C21" s="44" t="s">
        <v>2352</v>
      </c>
      <c r="D21" s="44" t="s">
        <v>2352</v>
      </c>
      <c r="E21" s="43" t="s">
        <v>2350</v>
      </c>
      <c r="F21" s="41" t="s">
        <v>2347</v>
      </c>
      <c r="G21" s="41" t="s">
        <v>2347</v>
      </c>
      <c r="H21" s="41" t="s">
        <v>2347</v>
      </c>
      <c r="I21" s="41" t="s">
        <v>2347</v>
      </c>
      <c r="J21" s="42" t="s">
        <v>2358</v>
      </c>
    </row>
    <row r="22" customFormat="false" ht="15" hidden="false" customHeight="false" outlineLevel="0" collapsed="false">
      <c r="A22" s="9"/>
      <c r="B22" s="9" t="s">
        <v>1347</v>
      </c>
      <c r="C22" s="40" t="s">
        <v>2346</v>
      </c>
      <c r="D22" s="41" t="s">
        <v>2347</v>
      </c>
      <c r="E22" s="41" t="s">
        <v>2347</v>
      </c>
      <c r="F22" s="41" t="s">
        <v>2347</v>
      </c>
      <c r="G22" s="43" t="s">
        <v>2350</v>
      </c>
      <c r="H22" s="41" t="s">
        <v>2347</v>
      </c>
      <c r="I22" s="41" t="s">
        <v>2347</v>
      </c>
      <c r="J22" s="42"/>
    </row>
    <row r="23" customFormat="false" ht="15" hidden="false" customHeight="false" outlineLevel="0" collapsed="false">
      <c r="A23" s="9"/>
      <c r="B23" s="9" t="s">
        <v>2354</v>
      </c>
      <c r="C23" s="43" t="s">
        <v>2350</v>
      </c>
      <c r="D23" s="41" t="s">
        <v>2347</v>
      </c>
      <c r="E23" s="41" t="s">
        <v>2347</v>
      </c>
      <c r="F23" s="41" t="s">
        <v>2347</v>
      </c>
      <c r="G23" s="41" t="s">
        <v>2347</v>
      </c>
      <c r="H23" s="41" t="s">
        <v>2347</v>
      </c>
      <c r="I23" s="41" t="s">
        <v>2347</v>
      </c>
      <c r="J23" s="42"/>
    </row>
    <row r="24" customFormat="false" ht="15" hidden="false" customHeight="false" outlineLevel="0" collapsed="false">
      <c r="A24" s="9"/>
      <c r="B24" s="9" t="s">
        <v>2355</v>
      </c>
      <c r="C24" s="43" t="s">
        <v>2350</v>
      </c>
      <c r="D24" s="41" t="s">
        <v>2347</v>
      </c>
      <c r="E24" s="41" t="s">
        <v>2347</v>
      </c>
      <c r="F24" s="41" t="s">
        <v>2347</v>
      </c>
      <c r="G24" s="41" t="s">
        <v>2347</v>
      </c>
      <c r="H24" s="41" t="s">
        <v>2347</v>
      </c>
      <c r="I24" s="41" t="s">
        <v>2347</v>
      </c>
      <c r="J24" s="42"/>
    </row>
    <row r="25" customFormat="false" ht="15" hidden="false" customHeight="false" outlineLevel="0" collapsed="false">
      <c r="A25" s="9"/>
      <c r="B25" s="9" t="s">
        <v>2356</v>
      </c>
      <c r="C25" s="43" t="s">
        <v>2350</v>
      </c>
      <c r="D25" s="41" t="s">
        <v>2347</v>
      </c>
      <c r="E25" s="41" t="s">
        <v>2347</v>
      </c>
      <c r="F25" s="41" t="s">
        <v>2347</v>
      </c>
      <c r="G25" s="41" t="s">
        <v>2347</v>
      </c>
      <c r="H25" s="41" t="s">
        <v>2347</v>
      </c>
      <c r="I25" s="41" t="s">
        <v>2347</v>
      </c>
      <c r="J25" s="42"/>
    </row>
    <row r="26" customFormat="false" ht="15" hidden="false" customHeight="false" outlineLevel="0" collapsed="false">
      <c r="A26" s="24" t="s">
        <v>2359</v>
      </c>
      <c r="B26" s="39" t="s">
        <v>481</v>
      </c>
      <c r="C26" s="40" t="s">
        <v>2346</v>
      </c>
      <c r="D26" s="40" t="s">
        <v>2346</v>
      </c>
      <c r="E26" s="40" t="s">
        <v>2346</v>
      </c>
      <c r="F26" s="41" t="s">
        <v>2347</v>
      </c>
      <c r="G26" s="43" t="s">
        <v>2350</v>
      </c>
      <c r="H26" s="41" t="s">
        <v>2347</v>
      </c>
      <c r="I26" s="41" t="s">
        <v>2347</v>
      </c>
      <c r="J26" s="42"/>
    </row>
    <row r="27" customFormat="false" ht="15" hidden="false" customHeight="false" outlineLevel="0" collapsed="false">
      <c r="A27" s="9"/>
      <c r="B27" s="9" t="s">
        <v>2348</v>
      </c>
      <c r="C27" s="40" t="s">
        <v>2346</v>
      </c>
      <c r="D27" s="40" t="s">
        <v>2346</v>
      </c>
      <c r="E27" s="40" t="s">
        <v>2346</v>
      </c>
      <c r="F27" s="41" t="s">
        <v>2347</v>
      </c>
      <c r="G27" s="41" t="s">
        <v>2347</v>
      </c>
      <c r="H27" s="41" t="s">
        <v>2347</v>
      </c>
      <c r="I27" s="41" t="s">
        <v>2347</v>
      </c>
      <c r="J27" s="42"/>
    </row>
    <row r="28" customFormat="false" ht="15" hidden="false" customHeight="false" outlineLevel="0" collapsed="false">
      <c r="A28" s="9"/>
      <c r="B28" s="9" t="s">
        <v>2349</v>
      </c>
      <c r="C28" s="43" t="s">
        <v>2350</v>
      </c>
      <c r="D28" s="41" t="s">
        <v>2347</v>
      </c>
      <c r="E28" s="41" t="s">
        <v>2347</v>
      </c>
      <c r="F28" s="41" t="s">
        <v>2347</v>
      </c>
      <c r="G28" s="41" t="s">
        <v>2347</v>
      </c>
      <c r="H28" s="41" t="s">
        <v>2347</v>
      </c>
      <c r="I28" s="41" t="s">
        <v>2347</v>
      </c>
      <c r="J28" s="42"/>
    </row>
    <row r="29" customFormat="false" ht="22.35" hidden="false" customHeight="false" outlineLevel="0" collapsed="false">
      <c r="A29" s="9"/>
      <c r="B29" s="9" t="s">
        <v>2351</v>
      </c>
      <c r="C29" s="40" t="s">
        <v>2346</v>
      </c>
      <c r="D29" s="40" t="s">
        <v>2346</v>
      </c>
      <c r="E29" s="40" t="s">
        <v>2346</v>
      </c>
      <c r="F29" s="43" t="s">
        <v>2350</v>
      </c>
      <c r="G29" s="40" t="s">
        <v>2346</v>
      </c>
      <c r="H29" s="43" t="s">
        <v>2350</v>
      </c>
      <c r="I29" s="41" t="s">
        <v>2347</v>
      </c>
      <c r="J29" s="42" t="s">
        <v>2360</v>
      </c>
    </row>
    <row r="30" customFormat="false" ht="15" hidden="false" customHeight="false" outlineLevel="0" collapsed="false">
      <c r="A30" s="9"/>
      <c r="B30" s="9" t="s">
        <v>916</v>
      </c>
      <c r="C30" s="40" t="s">
        <v>2346</v>
      </c>
      <c r="D30" s="40" t="s">
        <v>2346</v>
      </c>
      <c r="E30" s="43" t="s">
        <v>2350</v>
      </c>
      <c r="F30" s="41" t="s">
        <v>2347</v>
      </c>
      <c r="G30" s="41" t="s">
        <v>2347</v>
      </c>
      <c r="H30" s="41" t="s">
        <v>2347</v>
      </c>
      <c r="I30" s="41" t="s">
        <v>2347</v>
      </c>
      <c r="J30" s="42"/>
    </row>
    <row r="31" customFormat="false" ht="15" hidden="false" customHeight="false" outlineLevel="0" collapsed="false">
      <c r="A31" s="9"/>
      <c r="B31" s="9" t="s">
        <v>1060</v>
      </c>
      <c r="C31" s="44" t="s">
        <v>2352</v>
      </c>
      <c r="D31" s="44" t="s">
        <v>2352</v>
      </c>
      <c r="E31" s="43" t="s">
        <v>2350</v>
      </c>
      <c r="F31" s="41" t="s">
        <v>2347</v>
      </c>
      <c r="G31" s="41" t="s">
        <v>2347</v>
      </c>
      <c r="H31" s="41" t="s">
        <v>2347</v>
      </c>
      <c r="I31" s="41" t="s">
        <v>2347</v>
      </c>
      <c r="J31" s="42"/>
    </row>
    <row r="32" customFormat="false" ht="15" hidden="false" customHeight="false" outlineLevel="0" collapsed="false">
      <c r="A32" s="9"/>
      <c r="B32" s="9" t="s">
        <v>1347</v>
      </c>
      <c r="C32" s="43" t="s">
        <v>2350</v>
      </c>
      <c r="D32" s="41" t="s">
        <v>2347</v>
      </c>
      <c r="E32" s="41" t="s">
        <v>2347</v>
      </c>
      <c r="F32" s="41" t="s">
        <v>2347</v>
      </c>
      <c r="G32" s="41" t="s">
        <v>2347</v>
      </c>
      <c r="H32" s="41" t="s">
        <v>2347</v>
      </c>
      <c r="I32" s="41" t="s">
        <v>2347</v>
      </c>
      <c r="J32" s="42"/>
    </row>
    <row r="33" customFormat="false" ht="15" hidden="false" customHeight="false" outlineLevel="0" collapsed="false">
      <c r="A33" s="9"/>
      <c r="B33" s="9" t="s">
        <v>2354</v>
      </c>
      <c r="C33" s="43" t="s">
        <v>2350</v>
      </c>
      <c r="D33" s="41" t="s">
        <v>2347</v>
      </c>
      <c r="E33" s="41" t="s">
        <v>2347</v>
      </c>
      <c r="F33" s="41" t="s">
        <v>2347</v>
      </c>
      <c r="G33" s="41" t="s">
        <v>2347</v>
      </c>
      <c r="H33" s="41" t="s">
        <v>2347</v>
      </c>
      <c r="I33" s="41" t="s">
        <v>2347</v>
      </c>
      <c r="J33" s="42"/>
    </row>
    <row r="34" customFormat="false" ht="15" hidden="false" customHeight="false" outlineLevel="0" collapsed="false">
      <c r="A34" s="9"/>
      <c r="B34" s="9" t="s">
        <v>2355</v>
      </c>
      <c r="C34" s="43" t="s">
        <v>2350</v>
      </c>
      <c r="D34" s="41" t="s">
        <v>2347</v>
      </c>
      <c r="E34" s="41" t="s">
        <v>2347</v>
      </c>
      <c r="F34" s="41" t="s">
        <v>2347</v>
      </c>
      <c r="G34" s="41" t="s">
        <v>2347</v>
      </c>
      <c r="H34" s="41" t="s">
        <v>2347</v>
      </c>
      <c r="I34" s="41" t="s">
        <v>2347</v>
      </c>
      <c r="J34" s="42"/>
    </row>
    <row r="35" customFormat="false" ht="15" hidden="false" customHeight="false" outlineLevel="0" collapsed="false">
      <c r="A35" s="9"/>
      <c r="B35" s="9" t="s">
        <v>2356</v>
      </c>
      <c r="C35" s="43" t="s">
        <v>2350</v>
      </c>
      <c r="D35" s="41" t="s">
        <v>2347</v>
      </c>
      <c r="E35" s="41" t="s">
        <v>2347</v>
      </c>
      <c r="F35" s="41" t="s">
        <v>2347</v>
      </c>
      <c r="G35" s="41" t="s">
        <v>2347</v>
      </c>
      <c r="H35" s="41" t="s">
        <v>2347</v>
      </c>
      <c r="I35" s="41" t="s">
        <v>2347</v>
      </c>
      <c r="J35" s="42"/>
    </row>
    <row r="36" customFormat="false" ht="15" hidden="false" customHeight="false" outlineLevel="0" collapsed="false">
      <c r="A36" s="24" t="s">
        <v>879</v>
      </c>
      <c r="B36" s="39" t="s">
        <v>481</v>
      </c>
      <c r="C36" s="40" t="s">
        <v>2346</v>
      </c>
      <c r="D36" s="43" t="s">
        <v>2350</v>
      </c>
      <c r="E36" s="40" t="s">
        <v>2346</v>
      </c>
      <c r="F36" s="41" t="s">
        <v>2347</v>
      </c>
      <c r="G36" s="43" t="s">
        <v>2350</v>
      </c>
      <c r="H36" s="41" t="s">
        <v>2347</v>
      </c>
      <c r="I36" s="41" t="s">
        <v>2347</v>
      </c>
      <c r="J36" s="42"/>
    </row>
    <row r="37" customFormat="false" ht="15" hidden="false" customHeight="false" outlineLevel="0" collapsed="false">
      <c r="A37" s="9"/>
      <c r="B37" s="9" t="s">
        <v>2348</v>
      </c>
      <c r="C37" s="40" t="s">
        <v>2346</v>
      </c>
      <c r="D37" s="41" t="s">
        <v>2347</v>
      </c>
      <c r="E37" s="40" t="s">
        <v>2346</v>
      </c>
      <c r="F37" s="41" t="s">
        <v>2347</v>
      </c>
      <c r="G37" s="41" t="s">
        <v>2347</v>
      </c>
      <c r="H37" s="41" t="s">
        <v>2347</v>
      </c>
      <c r="I37" s="41" t="s">
        <v>2347</v>
      </c>
      <c r="J37" s="42"/>
    </row>
    <row r="38" customFormat="false" ht="15" hidden="false" customHeight="false" outlineLevel="0" collapsed="false">
      <c r="A38" s="9"/>
      <c r="B38" s="9" t="s">
        <v>2349</v>
      </c>
      <c r="C38" s="40" t="s">
        <v>2346</v>
      </c>
      <c r="D38" s="40" t="s">
        <v>2346</v>
      </c>
      <c r="E38" s="40" t="s">
        <v>2346</v>
      </c>
      <c r="F38" s="41" t="s">
        <v>2347</v>
      </c>
      <c r="G38" s="43" t="s">
        <v>2350</v>
      </c>
      <c r="H38" s="41" t="s">
        <v>2347</v>
      </c>
      <c r="I38" s="41" t="s">
        <v>2347</v>
      </c>
      <c r="J38" s="42" t="s">
        <v>2361</v>
      </c>
    </row>
    <row r="39" customFormat="false" ht="15" hidden="false" customHeight="false" outlineLevel="0" collapsed="false">
      <c r="A39" s="9"/>
      <c r="B39" s="9" t="s">
        <v>2351</v>
      </c>
      <c r="C39" s="43" t="s">
        <v>2350</v>
      </c>
      <c r="D39" s="41" t="s">
        <v>2347</v>
      </c>
      <c r="E39" s="41" t="s">
        <v>2347</v>
      </c>
      <c r="F39" s="41" t="s">
        <v>2347</v>
      </c>
      <c r="G39" s="41" t="s">
        <v>2347</v>
      </c>
      <c r="H39" s="41" t="s">
        <v>2347</v>
      </c>
      <c r="I39" s="41" t="s">
        <v>2347</v>
      </c>
      <c r="J39" s="42"/>
    </row>
    <row r="40" customFormat="false" ht="15" hidden="false" customHeight="false" outlineLevel="0" collapsed="false">
      <c r="A40" s="9"/>
      <c r="B40" s="9" t="s">
        <v>916</v>
      </c>
      <c r="C40" s="40" t="s">
        <v>2346</v>
      </c>
      <c r="D40" s="41" t="s">
        <v>2347</v>
      </c>
      <c r="E40" s="40" t="s">
        <v>2346</v>
      </c>
      <c r="F40" s="41" t="s">
        <v>2347</v>
      </c>
      <c r="G40" s="41" t="s">
        <v>2347</v>
      </c>
      <c r="H40" s="41" t="s">
        <v>2347</v>
      </c>
      <c r="I40" s="41" t="s">
        <v>2347</v>
      </c>
      <c r="J40" s="42"/>
    </row>
    <row r="41" customFormat="false" ht="15" hidden="false" customHeight="false" outlineLevel="0" collapsed="false">
      <c r="A41" s="9"/>
      <c r="B41" s="9" t="s">
        <v>1060</v>
      </c>
      <c r="C41" s="44" t="s">
        <v>2352</v>
      </c>
      <c r="D41" s="43" t="s">
        <v>2350</v>
      </c>
      <c r="E41" s="43" t="s">
        <v>2350</v>
      </c>
      <c r="F41" s="41" t="s">
        <v>2347</v>
      </c>
      <c r="G41" s="41" t="s">
        <v>2347</v>
      </c>
      <c r="H41" s="41" t="s">
        <v>2347</v>
      </c>
      <c r="I41" s="41" t="s">
        <v>2347</v>
      </c>
      <c r="J41" s="42"/>
    </row>
    <row r="42" customFormat="false" ht="15" hidden="false" customHeight="false" outlineLevel="0" collapsed="false">
      <c r="A42" s="9"/>
      <c r="B42" s="9" t="s">
        <v>1347</v>
      </c>
      <c r="C42" s="43" t="s">
        <v>2350</v>
      </c>
      <c r="D42" s="41" t="s">
        <v>2347</v>
      </c>
      <c r="E42" s="41" t="s">
        <v>2347</v>
      </c>
      <c r="F42" s="41" t="s">
        <v>2347</v>
      </c>
      <c r="G42" s="41" t="s">
        <v>2347</v>
      </c>
      <c r="H42" s="41" t="s">
        <v>2347</v>
      </c>
      <c r="I42" s="41" t="s">
        <v>2347</v>
      </c>
      <c r="J42" s="42"/>
    </row>
    <row r="43" customFormat="false" ht="15" hidden="false" customHeight="false" outlineLevel="0" collapsed="false">
      <c r="A43" s="9"/>
      <c r="B43" s="9" t="s">
        <v>2354</v>
      </c>
      <c r="C43" s="43" t="s">
        <v>2350</v>
      </c>
      <c r="D43" s="41" t="s">
        <v>2347</v>
      </c>
      <c r="E43" s="41" t="s">
        <v>2347</v>
      </c>
      <c r="F43" s="41" t="s">
        <v>2347</v>
      </c>
      <c r="G43" s="41" t="s">
        <v>2347</v>
      </c>
      <c r="H43" s="41" t="s">
        <v>2347</v>
      </c>
      <c r="I43" s="41" t="s">
        <v>2347</v>
      </c>
      <c r="J43" s="42"/>
    </row>
    <row r="44" customFormat="false" ht="15" hidden="false" customHeight="false" outlineLevel="0" collapsed="false">
      <c r="A44" s="9"/>
      <c r="B44" s="9" t="s">
        <v>2355</v>
      </c>
      <c r="C44" s="43" t="s">
        <v>2350</v>
      </c>
      <c r="D44" s="41" t="s">
        <v>2347</v>
      </c>
      <c r="E44" s="41" t="s">
        <v>2347</v>
      </c>
      <c r="F44" s="41" t="s">
        <v>2347</v>
      </c>
      <c r="G44" s="41" t="s">
        <v>2347</v>
      </c>
      <c r="H44" s="41" t="s">
        <v>2347</v>
      </c>
      <c r="I44" s="41" t="s">
        <v>2347</v>
      </c>
      <c r="J44" s="42"/>
    </row>
    <row r="45" customFormat="false" ht="15" hidden="false" customHeight="false" outlineLevel="0" collapsed="false">
      <c r="A45" s="9"/>
      <c r="B45" s="9" t="s">
        <v>2356</v>
      </c>
      <c r="C45" s="43" t="s">
        <v>2350</v>
      </c>
      <c r="D45" s="41" t="s">
        <v>2347</v>
      </c>
      <c r="E45" s="41" t="s">
        <v>2347</v>
      </c>
      <c r="F45" s="41" t="s">
        <v>2347</v>
      </c>
      <c r="G45" s="41" t="s">
        <v>2347</v>
      </c>
      <c r="H45" s="41" t="s">
        <v>2347</v>
      </c>
      <c r="I45" s="41" t="s">
        <v>2347</v>
      </c>
      <c r="J45" s="42"/>
    </row>
    <row r="46" customFormat="false" ht="15" hidden="false" customHeight="false" outlineLevel="0" collapsed="false">
      <c r="A46" s="24" t="s">
        <v>2362</v>
      </c>
      <c r="B46" s="39" t="s">
        <v>481</v>
      </c>
      <c r="C46" s="40" t="s">
        <v>2346</v>
      </c>
      <c r="D46" s="40" t="s">
        <v>2346</v>
      </c>
      <c r="E46" s="40" t="s">
        <v>2346</v>
      </c>
      <c r="F46" s="41" t="s">
        <v>2347</v>
      </c>
      <c r="G46" s="43" t="s">
        <v>2350</v>
      </c>
      <c r="H46" s="41" t="s">
        <v>2347</v>
      </c>
      <c r="I46" s="41" t="s">
        <v>2347</v>
      </c>
      <c r="J46" s="42"/>
    </row>
    <row r="47" customFormat="false" ht="15" hidden="false" customHeight="false" outlineLevel="0" collapsed="false">
      <c r="A47" s="9"/>
      <c r="B47" s="9" t="s">
        <v>2348</v>
      </c>
      <c r="C47" s="40" t="s">
        <v>2346</v>
      </c>
      <c r="D47" s="40" t="s">
        <v>2346</v>
      </c>
      <c r="E47" s="40" t="s">
        <v>2346</v>
      </c>
      <c r="F47" s="41" t="s">
        <v>2347</v>
      </c>
      <c r="G47" s="41" t="s">
        <v>2347</v>
      </c>
      <c r="H47" s="41" t="s">
        <v>2347</v>
      </c>
      <c r="I47" s="41" t="s">
        <v>2347</v>
      </c>
      <c r="J47" s="42"/>
    </row>
    <row r="48" customFormat="false" ht="15" hidden="false" customHeight="false" outlineLevel="0" collapsed="false">
      <c r="A48" s="9"/>
      <c r="B48" s="9" t="s">
        <v>2349</v>
      </c>
      <c r="C48" s="40" t="s">
        <v>2346</v>
      </c>
      <c r="D48" s="40" t="s">
        <v>2346</v>
      </c>
      <c r="E48" s="43" t="s">
        <v>2350</v>
      </c>
      <c r="F48" s="41" t="s">
        <v>2347</v>
      </c>
      <c r="G48" s="43" t="s">
        <v>2350</v>
      </c>
      <c r="H48" s="41" t="s">
        <v>2347</v>
      </c>
      <c r="I48" s="41" t="s">
        <v>2347</v>
      </c>
      <c r="J48" s="42"/>
    </row>
    <row r="49" customFormat="false" ht="15" hidden="false" customHeight="false" outlineLevel="0" collapsed="false">
      <c r="A49" s="9"/>
      <c r="B49" s="9" t="s">
        <v>2351</v>
      </c>
      <c r="C49" s="40" t="s">
        <v>2346</v>
      </c>
      <c r="D49" s="40" t="s">
        <v>2346</v>
      </c>
      <c r="E49" s="40" t="s">
        <v>2346</v>
      </c>
      <c r="F49" s="43" t="s">
        <v>2350</v>
      </c>
      <c r="G49" s="40" t="s">
        <v>2346</v>
      </c>
      <c r="H49" s="43" t="s">
        <v>2350</v>
      </c>
      <c r="I49" s="41" t="s">
        <v>2347</v>
      </c>
      <c r="J49" s="42" t="s">
        <v>2363</v>
      </c>
    </row>
    <row r="50" customFormat="false" ht="15" hidden="false" customHeight="false" outlineLevel="0" collapsed="false">
      <c r="A50" s="9"/>
      <c r="B50" s="9" t="s">
        <v>916</v>
      </c>
      <c r="C50" s="40" t="s">
        <v>2346</v>
      </c>
      <c r="D50" s="40" t="s">
        <v>2346</v>
      </c>
      <c r="E50" s="43" t="s">
        <v>2350</v>
      </c>
      <c r="F50" s="41" t="s">
        <v>2347</v>
      </c>
      <c r="G50" s="41" t="s">
        <v>2347</v>
      </c>
      <c r="H50" s="41" t="s">
        <v>2347</v>
      </c>
      <c r="I50" s="41" t="s">
        <v>2347</v>
      </c>
      <c r="J50" s="42"/>
    </row>
    <row r="51" customFormat="false" ht="15" hidden="false" customHeight="false" outlineLevel="0" collapsed="false">
      <c r="A51" s="9"/>
      <c r="B51" s="9" t="s">
        <v>1060</v>
      </c>
      <c r="C51" s="44" t="s">
        <v>2352</v>
      </c>
      <c r="D51" s="44" t="s">
        <v>2352</v>
      </c>
      <c r="E51" s="43" t="s">
        <v>2350</v>
      </c>
      <c r="F51" s="41" t="s">
        <v>2347</v>
      </c>
      <c r="G51" s="41" t="s">
        <v>2347</v>
      </c>
      <c r="H51" s="41" t="s">
        <v>2347</v>
      </c>
      <c r="I51" s="41" t="s">
        <v>2347</v>
      </c>
      <c r="J51" s="42"/>
    </row>
    <row r="52" customFormat="false" ht="15" hidden="false" customHeight="false" outlineLevel="0" collapsed="false">
      <c r="A52" s="9"/>
      <c r="B52" s="9" t="s">
        <v>1347</v>
      </c>
      <c r="C52" s="43" t="s">
        <v>2350</v>
      </c>
      <c r="D52" s="41" t="s">
        <v>2347</v>
      </c>
      <c r="E52" s="41" t="s">
        <v>2347</v>
      </c>
      <c r="F52" s="41" t="s">
        <v>2347</v>
      </c>
      <c r="G52" s="41" t="s">
        <v>2347</v>
      </c>
      <c r="H52" s="41" t="s">
        <v>2347</v>
      </c>
      <c r="I52" s="41" t="s">
        <v>2347</v>
      </c>
      <c r="J52" s="42"/>
    </row>
    <row r="53" customFormat="false" ht="15" hidden="false" customHeight="false" outlineLevel="0" collapsed="false">
      <c r="A53" s="9"/>
      <c r="B53" s="9" t="s">
        <v>2354</v>
      </c>
      <c r="C53" s="43" t="s">
        <v>2350</v>
      </c>
      <c r="D53" s="41" t="s">
        <v>2347</v>
      </c>
      <c r="E53" s="41" t="s">
        <v>2347</v>
      </c>
      <c r="F53" s="41" t="s">
        <v>2347</v>
      </c>
      <c r="G53" s="41" t="s">
        <v>2347</v>
      </c>
      <c r="H53" s="41" t="s">
        <v>2347</v>
      </c>
      <c r="I53" s="41" t="s">
        <v>2347</v>
      </c>
      <c r="J53" s="42"/>
    </row>
    <row r="54" customFormat="false" ht="15" hidden="false" customHeight="false" outlineLevel="0" collapsed="false">
      <c r="A54" s="9"/>
      <c r="B54" s="9" t="s">
        <v>2355</v>
      </c>
      <c r="C54" s="43" t="s">
        <v>2350</v>
      </c>
      <c r="D54" s="41" t="s">
        <v>2347</v>
      </c>
      <c r="E54" s="41" t="s">
        <v>2347</v>
      </c>
      <c r="F54" s="41" t="s">
        <v>2347</v>
      </c>
      <c r="G54" s="41" t="s">
        <v>2347</v>
      </c>
      <c r="H54" s="41" t="s">
        <v>2347</v>
      </c>
      <c r="I54" s="41" t="s">
        <v>2347</v>
      </c>
      <c r="J54" s="42"/>
    </row>
    <row r="55" customFormat="false" ht="15" hidden="false" customHeight="false" outlineLevel="0" collapsed="false">
      <c r="A55" s="9"/>
      <c r="B55" s="9" t="s">
        <v>2356</v>
      </c>
      <c r="C55" s="43" t="s">
        <v>2350</v>
      </c>
      <c r="D55" s="41" t="s">
        <v>2347</v>
      </c>
      <c r="E55" s="41" t="s">
        <v>2347</v>
      </c>
      <c r="F55" s="41" t="s">
        <v>2347</v>
      </c>
      <c r="G55" s="41" t="s">
        <v>2347</v>
      </c>
      <c r="H55" s="41" t="s">
        <v>2347</v>
      </c>
      <c r="I55" s="41" t="s">
        <v>2347</v>
      </c>
      <c r="J55" s="4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8" min="2" style="0" width="16"/>
  </cols>
  <sheetData>
    <row r="1" customFormat="false" ht="19.7" hidden="false" customHeight="false" outlineLevel="0" collapsed="false">
      <c r="A1" s="1" t="s">
        <v>2364</v>
      </c>
    </row>
    <row r="2" customFormat="false" ht="15" hidden="false" customHeight="false" outlineLevel="0" collapsed="false">
      <c r="A2" s="14" t="s">
        <v>2365</v>
      </c>
    </row>
    <row r="4" customFormat="false" ht="23.85" hidden="false" customHeight="false" outlineLevel="0" collapsed="false">
      <c r="A4" s="8" t="s">
        <v>2366</v>
      </c>
      <c r="B4" s="8" t="s">
        <v>2367</v>
      </c>
      <c r="C4" s="8" t="s">
        <v>2368</v>
      </c>
      <c r="D4" s="8" t="s">
        <v>2369</v>
      </c>
      <c r="E4" s="8" t="s">
        <v>981</v>
      </c>
      <c r="F4" s="8" t="s">
        <v>2370</v>
      </c>
      <c r="G4" s="8" t="s">
        <v>2371</v>
      </c>
      <c r="H4" s="8" t="s">
        <v>2372</v>
      </c>
    </row>
    <row r="5" customFormat="false" ht="15" hidden="false" customHeight="false" outlineLevel="0" collapsed="false">
      <c r="A5" s="9" t="s">
        <v>2373</v>
      </c>
      <c r="B5" s="40" t="s">
        <v>2346</v>
      </c>
      <c r="C5" s="40" t="s">
        <v>2346</v>
      </c>
      <c r="D5" s="40" t="s">
        <v>2346</v>
      </c>
      <c r="E5" s="40" t="s">
        <v>2346</v>
      </c>
      <c r="F5" s="40" t="s">
        <v>2346</v>
      </c>
      <c r="G5" s="40" t="s">
        <v>2346</v>
      </c>
      <c r="H5" s="40" t="s">
        <v>2346</v>
      </c>
    </row>
    <row r="6" customFormat="false" ht="15" hidden="false" customHeight="false" outlineLevel="0" collapsed="false">
      <c r="A6" s="45" t="s">
        <v>2374</v>
      </c>
      <c r="B6" s="40" t="s">
        <v>2346</v>
      </c>
      <c r="C6" s="40" t="s">
        <v>2346</v>
      </c>
      <c r="D6" s="40" t="s">
        <v>2346</v>
      </c>
      <c r="E6" s="40" t="s">
        <v>2346</v>
      </c>
      <c r="F6" s="41" t="s">
        <v>2375</v>
      </c>
      <c r="G6" s="40" t="s">
        <v>2346</v>
      </c>
      <c r="H6" s="40" t="s">
        <v>2346</v>
      </c>
    </row>
    <row r="7" customFormat="false" ht="15" hidden="false" customHeight="false" outlineLevel="0" collapsed="false">
      <c r="A7" s="9" t="s">
        <v>2376</v>
      </c>
      <c r="B7" s="40" t="s">
        <v>2346</v>
      </c>
      <c r="C7" s="40" t="s">
        <v>2346</v>
      </c>
      <c r="D7" s="40" t="s">
        <v>2346</v>
      </c>
      <c r="E7" s="41" t="s">
        <v>2375</v>
      </c>
      <c r="F7" s="41" t="s">
        <v>2375</v>
      </c>
      <c r="G7" s="41" t="s">
        <v>2375</v>
      </c>
      <c r="H7" s="40" t="s">
        <v>2346</v>
      </c>
    </row>
    <row r="8" customFormat="false" ht="15" hidden="false" customHeight="false" outlineLevel="0" collapsed="false">
      <c r="A8" s="45" t="s">
        <v>2377</v>
      </c>
      <c r="B8" s="40" t="s">
        <v>2346</v>
      </c>
      <c r="C8" s="40" t="s">
        <v>2346</v>
      </c>
      <c r="D8" s="41" t="s">
        <v>2375</v>
      </c>
      <c r="E8" s="41" t="s">
        <v>2375</v>
      </c>
      <c r="F8" s="41" t="s">
        <v>2375</v>
      </c>
      <c r="G8" s="41" t="s">
        <v>2375</v>
      </c>
      <c r="H8" s="41" t="s">
        <v>2375</v>
      </c>
    </row>
    <row r="9" customFormat="false" ht="15" hidden="false" customHeight="false" outlineLevel="0" collapsed="false">
      <c r="A9" s="9" t="s">
        <v>2378</v>
      </c>
      <c r="B9" s="40" t="s">
        <v>2346</v>
      </c>
      <c r="C9" s="40" t="s">
        <v>2346</v>
      </c>
      <c r="D9" s="41" t="s">
        <v>2375</v>
      </c>
      <c r="E9" s="41" t="s">
        <v>2375</v>
      </c>
      <c r="F9" s="40" t="s">
        <v>2346</v>
      </c>
      <c r="G9" s="41" t="s">
        <v>2375</v>
      </c>
      <c r="H9" s="41" t="s">
        <v>2375</v>
      </c>
    </row>
    <row r="10" customFormat="false" ht="15" hidden="false" customHeight="false" outlineLevel="0" collapsed="false">
      <c r="A10" s="45" t="s">
        <v>2379</v>
      </c>
      <c r="B10" s="40" t="s">
        <v>2346</v>
      </c>
      <c r="C10" s="41" t="s">
        <v>2375</v>
      </c>
      <c r="D10" s="41" t="s">
        <v>2375</v>
      </c>
      <c r="E10" s="40" t="s">
        <v>2346</v>
      </c>
      <c r="F10" s="41" t="s">
        <v>2375</v>
      </c>
      <c r="G10" s="40" t="s">
        <v>2346</v>
      </c>
      <c r="H10" s="41" t="s">
        <v>2375</v>
      </c>
    </row>
    <row r="11" customFormat="false" ht="15" hidden="false" customHeight="false" outlineLevel="0" collapsed="false">
      <c r="A11" s="9" t="s">
        <v>2380</v>
      </c>
      <c r="B11" s="40" t="s">
        <v>2346</v>
      </c>
      <c r="C11" s="40" t="s">
        <v>2346</v>
      </c>
      <c r="D11" s="40" t="s">
        <v>2346</v>
      </c>
      <c r="E11" s="41" t="s">
        <v>2375</v>
      </c>
      <c r="F11" s="41" t="s">
        <v>2375</v>
      </c>
      <c r="G11" s="41" t="s">
        <v>2375</v>
      </c>
      <c r="H11" s="41" t="s">
        <v>2375</v>
      </c>
    </row>
    <row r="12" customFormat="false" ht="15" hidden="false" customHeight="false" outlineLevel="0" collapsed="false">
      <c r="A12" s="45" t="s">
        <v>2381</v>
      </c>
      <c r="B12" s="40" t="s">
        <v>2346</v>
      </c>
      <c r="C12" s="41" t="s">
        <v>2375</v>
      </c>
      <c r="D12" s="41" t="s">
        <v>2375</v>
      </c>
      <c r="E12" s="40" t="s">
        <v>2346</v>
      </c>
      <c r="F12" s="41" t="s">
        <v>2375</v>
      </c>
      <c r="G12" s="41" t="s">
        <v>2375</v>
      </c>
      <c r="H12" s="41" t="s">
        <v>2375</v>
      </c>
    </row>
    <row r="13" customFormat="false" ht="15" hidden="false" customHeight="false" outlineLevel="0" collapsed="false">
      <c r="A13" s="9" t="s">
        <v>2382</v>
      </c>
      <c r="B13" s="40" t="s">
        <v>2346</v>
      </c>
      <c r="C13" s="41" t="s">
        <v>2375</v>
      </c>
      <c r="D13" s="41" t="s">
        <v>2375</v>
      </c>
      <c r="E13" s="41" t="s">
        <v>2375</v>
      </c>
      <c r="F13" s="40" t="s">
        <v>2346</v>
      </c>
      <c r="G13" s="40" t="s">
        <v>2346</v>
      </c>
      <c r="H13" s="40" t="s">
        <v>2346</v>
      </c>
    </row>
    <row r="14" customFormat="false" ht="15" hidden="false" customHeight="false" outlineLevel="0" collapsed="false">
      <c r="A14" s="45" t="s">
        <v>2383</v>
      </c>
      <c r="B14" s="40" t="s">
        <v>2346</v>
      </c>
      <c r="C14" s="40" t="s">
        <v>2346</v>
      </c>
      <c r="D14" s="41" t="s">
        <v>2375</v>
      </c>
      <c r="E14" s="41" t="s">
        <v>2375</v>
      </c>
      <c r="F14" s="40" t="s">
        <v>2346</v>
      </c>
      <c r="G14" s="41" t="s">
        <v>2375</v>
      </c>
      <c r="H14" s="41" t="s">
        <v>2375</v>
      </c>
    </row>
    <row r="15" customFormat="false" ht="15" hidden="false" customHeight="false" outlineLevel="0" collapsed="false">
      <c r="A15" s="9" t="s">
        <v>2384</v>
      </c>
      <c r="B15" s="40" t="s">
        <v>2346</v>
      </c>
      <c r="C15" s="41" t="s">
        <v>2375</v>
      </c>
      <c r="D15" s="40" t="s">
        <v>2346</v>
      </c>
      <c r="E15" s="41" t="s">
        <v>2375</v>
      </c>
      <c r="F15" s="40" t="s">
        <v>2346</v>
      </c>
      <c r="G15" s="41" t="s">
        <v>2375</v>
      </c>
      <c r="H15" s="41" t="s">
        <v>2375</v>
      </c>
    </row>
    <row r="16" customFormat="false" ht="15" hidden="false" customHeight="false" outlineLevel="0" collapsed="false">
      <c r="A16" s="45" t="s">
        <v>2385</v>
      </c>
      <c r="B16" s="40" t="s">
        <v>2346</v>
      </c>
      <c r="C16" s="41" t="s">
        <v>2375</v>
      </c>
      <c r="D16" s="41" t="s">
        <v>2375</v>
      </c>
      <c r="E16" s="41" t="s">
        <v>2375</v>
      </c>
      <c r="F16" s="41" t="s">
        <v>2375</v>
      </c>
      <c r="G16" s="40" t="s">
        <v>2346</v>
      </c>
      <c r="H16" s="41" t="s">
        <v>2375</v>
      </c>
    </row>
    <row r="17" customFormat="false" ht="15" hidden="false" customHeight="false" outlineLevel="0" collapsed="false">
      <c r="A17" s="9" t="s">
        <v>2386</v>
      </c>
      <c r="B17" s="40" t="s">
        <v>2346</v>
      </c>
      <c r="C17" s="40" t="s">
        <v>2346</v>
      </c>
      <c r="D17" s="40" t="s">
        <v>2346</v>
      </c>
      <c r="E17" s="41" t="s">
        <v>2375</v>
      </c>
      <c r="F17" s="41" t="s">
        <v>2375</v>
      </c>
      <c r="G17" s="41" t="s">
        <v>2375</v>
      </c>
      <c r="H17" s="41" t="s">
        <v>2375</v>
      </c>
    </row>
    <row r="18" customFormat="false" ht="15" hidden="false" customHeight="false" outlineLevel="0" collapsed="false">
      <c r="A18" s="45" t="s">
        <v>2387</v>
      </c>
      <c r="B18" s="40" t="s">
        <v>2346</v>
      </c>
      <c r="C18" s="41" t="s">
        <v>2375</v>
      </c>
      <c r="D18" s="41" t="s">
        <v>2375</v>
      </c>
      <c r="E18" s="41" t="s">
        <v>2375</v>
      </c>
      <c r="F18" s="40" t="s">
        <v>2346</v>
      </c>
      <c r="G18" s="41" t="s">
        <v>2375</v>
      </c>
      <c r="H18" s="40" t="s">
        <v>2346</v>
      </c>
    </row>
    <row r="20" customFormat="false" ht="15" hidden="false" customHeight="false" outlineLevel="0" collapsed="false">
      <c r="A20" s="5" t="s">
        <v>2388</v>
      </c>
    </row>
    <row r="21" customFormat="false" ht="15" hidden="false" customHeight="false" outlineLevel="0" collapsed="false">
      <c r="A21" s="4" t="s">
        <v>2389</v>
      </c>
    </row>
    <row r="22" customFormat="false" ht="15" hidden="false" customHeight="false" outlineLevel="0" collapsed="false">
      <c r="A22" s="4" t="s">
        <v>2390</v>
      </c>
    </row>
    <row r="23" customFormat="false" ht="15" hidden="false" customHeight="false" outlineLevel="0" collapsed="false">
      <c r="A23" s="4" t="s">
        <v>2391</v>
      </c>
    </row>
    <row r="24" customFormat="false" ht="15" hidden="false" customHeight="false" outlineLevel="0" collapsed="false">
      <c r="A24" s="4" t="s">
        <v>2392</v>
      </c>
    </row>
    <row r="25" customFormat="false" ht="15" hidden="false" customHeight="false" outlineLevel="0" collapsed="false">
      <c r="A25" s="4" t="s">
        <v>2393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76"/>
    <col collapsed="false" customWidth="true" hidden="false" outlineLevel="0" max="3" min="3" style="0" width="40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26"/>
    <col collapsed="false" customWidth="true" hidden="false" outlineLevel="0" max="7" min="7" style="0" width="12"/>
    <col collapsed="false" customWidth="true" hidden="false" outlineLevel="0" max="8" min="8" style="0" width="24"/>
  </cols>
  <sheetData>
    <row r="1" customFormat="false" ht="19.7" hidden="false" customHeight="false" outlineLevel="0" collapsed="false">
      <c r="A1" s="1" t="s">
        <v>2394</v>
      </c>
    </row>
    <row r="2" customFormat="false" ht="15" hidden="false" customHeight="false" outlineLevel="0" collapsed="false">
      <c r="A2" s="14" t="s">
        <v>2395</v>
      </c>
    </row>
    <row r="4" customFormat="false" ht="15" hidden="false" customHeight="false" outlineLevel="0" collapsed="false">
      <c r="A4" s="8" t="s">
        <v>2396</v>
      </c>
      <c r="B4" s="8" t="s">
        <v>2397</v>
      </c>
      <c r="C4" s="8" t="s">
        <v>2398</v>
      </c>
      <c r="D4" s="8" t="s">
        <v>2399</v>
      </c>
      <c r="E4" s="8" t="s">
        <v>82</v>
      </c>
      <c r="F4" s="8" t="s">
        <v>2400</v>
      </c>
      <c r="G4" s="8" t="s">
        <v>2401</v>
      </c>
      <c r="H4" s="8" t="s">
        <v>2402</v>
      </c>
    </row>
    <row r="5" customFormat="false" ht="23.85" hidden="false" customHeight="false" outlineLevel="0" collapsed="false">
      <c r="A5" s="21" t="s">
        <v>2403</v>
      </c>
      <c r="B5" s="11" t="s">
        <v>2404</v>
      </c>
      <c r="C5" s="11" t="s">
        <v>2405</v>
      </c>
      <c r="D5" s="21" t="s">
        <v>313</v>
      </c>
      <c r="E5" s="21" t="s">
        <v>100</v>
      </c>
      <c r="F5" s="21" t="s">
        <v>2406</v>
      </c>
      <c r="G5" s="21" t="s">
        <v>2407</v>
      </c>
      <c r="H5" s="21"/>
    </row>
    <row r="6" customFormat="false" ht="15" hidden="false" customHeight="false" outlineLevel="0" collapsed="false">
      <c r="A6" s="22" t="s">
        <v>2403</v>
      </c>
      <c r="B6" s="17" t="s">
        <v>2408</v>
      </c>
      <c r="C6" s="17" t="s">
        <v>2409</v>
      </c>
      <c r="D6" s="22" t="s">
        <v>322</v>
      </c>
      <c r="E6" s="22" t="s">
        <v>100</v>
      </c>
      <c r="F6" s="22" t="s">
        <v>2406</v>
      </c>
      <c r="G6" s="22" t="s">
        <v>2407</v>
      </c>
      <c r="H6" s="22"/>
    </row>
    <row r="7" customFormat="false" ht="15" hidden="false" customHeight="false" outlineLevel="0" collapsed="false">
      <c r="A7" s="21" t="s">
        <v>2403</v>
      </c>
      <c r="B7" s="11" t="s">
        <v>2410</v>
      </c>
      <c r="C7" s="11" t="s">
        <v>328</v>
      </c>
      <c r="D7" s="21" t="s">
        <v>327</v>
      </c>
      <c r="E7" s="21" t="s">
        <v>100</v>
      </c>
      <c r="F7" s="21" t="s">
        <v>2406</v>
      </c>
      <c r="G7" s="21" t="s">
        <v>2407</v>
      </c>
      <c r="H7" s="21"/>
    </row>
    <row r="8" customFormat="false" ht="15" hidden="false" customHeight="false" outlineLevel="0" collapsed="false">
      <c r="A8" s="22" t="s">
        <v>2403</v>
      </c>
      <c r="B8" s="17" t="s">
        <v>2411</v>
      </c>
      <c r="C8" s="17" t="s">
        <v>332</v>
      </c>
      <c r="D8" s="22" t="s">
        <v>331</v>
      </c>
      <c r="E8" s="22" t="s">
        <v>100</v>
      </c>
      <c r="F8" s="22" t="s">
        <v>2406</v>
      </c>
      <c r="G8" s="22" t="s">
        <v>2407</v>
      </c>
      <c r="H8" s="22"/>
    </row>
    <row r="9" customFormat="false" ht="15" hidden="false" customHeight="false" outlineLevel="0" collapsed="false">
      <c r="A9" s="21" t="s">
        <v>2403</v>
      </c>
      <c r="B9" s="11" t="s">
        <v>2412</v>
      </c>
      <c r="C9" s="11" t="s">
        <v>336</v>
      </c>
      <c r="D9" s="21" t="s">
        <v>335</v>
      </c>
      <c r="E9" s="21" t="s">
        <v>100</v>
      </c>
      <c r="F9" s="21" t="s">
        <v>2406</v>
      </c>
      <c r="G9" s="21" t="s">
        <v>2407</v>
      </c>
      <c r="H9" s="21"/>
    </row>
    <row r="10" customFormat="false" ht="15" hidden="false" customHeight="false" outlineLevel="0" collapsed="false">
      <c r="A10" s="22" t="s">
        <v>2403</v>
      </c>
      <c r="B10" s="17" t="s">
        <v>2413</v>
      </c>
      <c r="C10" s="17" t="s">
        <v>355</v>
      </c>
      <c r="D10" s="22" t="s">
        <v>354</v>
      </c>
      <c r="E10" s="22" t="s">
        <v>130</v>
      </c>
      <c r="F10" s="22" t="s">
        <v>2414</v>
      </c>
      <c r="G10" s="22" t="s">
        <v>2407</v>
      </c>
      <c r="H10" s="22"/>
    </row>
    <row r="11" customFormat="false" ht="15" hidden="false" customHeight="false" outlineLevel="0" collapsed="false">
      <c r="A11" s="21" t="s">
        <v>2415</v>
      </c>
      <c r="B11" s="11" t="s">
        <v>2416</v>
      </c>
      <c r="C11" s="11" t="s">
        <v>367</v>
      </c>
      <c r="D11" s="21" t="s">
        <v>366</v>
      </c>
      <c r="E11" s="21" t="s">
        <v>100</v>
      </c>
      <c r="F11" s="21" t="s">
        <v>2406</v>
      </c>
      <c r="G11" s="21" t="s">
        <v>2407</v>
      </c>
      <c r="H11" s="21"/>
    </row>
    <row r="12" customFormat="false" ht="15" hidden="false" customHeight="false" outlineLevel="0" collapsed="false">
      <c r="A12" s="22" t="s">
        <v>2415</v>
      </c>
      <c r="B12" s="17" t="s">
        <v>2417</v>
      </c>
      <c r="C12" s="17" t="s">
        <v>2418</v>
      </c>
      <c r="D12" s="22" t="s">
        <v>371</v>
      </c>
      <c r="E12" s="22" t="s">
        <v>100</v>
      </c>
      <c r="F12" s="22" t="s">
        <v>2406</v>
      </c>
      <c r="G12" s="22" t="s">
        <v>2407</v>
      </c>
      <c r="H12" s="22"/>
    </row>
    <row r="13" customFormat="false" ht="15" hidden="false" customHeight="false" outlineLevel="0" collapsed="false">
      <c r="A13" s="21" t="s">
        <v>2415</v>
      </c>
      <c r="B13" s="11" t="s">
        <v>2419</v>
      </c>
      <c r="C13" s="11" t="s">
        <v>377</v>
      </c>
      <c r="D13" s="21" t="s">
        <v>376</v>
      </c>
      <c r="E13" s="21" t="s">
        <v>100</v>
      </c>
      <c r="F13" s="21" t="s">
        <v>2406</v>
      </c>
      <c r="G13" s="21" t="s">
        <v>2407</v>
      </c>
      <c r="H13" s="21"/>
    </row>
    <row r="14" customFormat="false" ht="15" hidden="false" customHeight="false" outlineLevel="0" collapsed="false">
      <c r="A14" s="22" t="s">
        <v>2415</v>
      </c>
      <c r="B14" s="17" t="s">
        <v>2420</v>
      </c>
      <c r="C14" s="17" t="s">
        <v>382</v>
      </c>
      <c r="D14" s="22" t="s">
        <v>381</v>
      </c>
      <c r="E14" s="22" t="s">
        <v>100</v>
      </c>
      <c r="F14" s="22" t="s">
        <v>2406</v>
      </c>
      <c r="G14" s="22" t="s">
        <v>2407</v>
      </c>
      <c r="H14" s="22"/>
    </row>
    <row r="15" customFormat="false" ht="15" hidden="false" customHeight="false" outlineLevel="0" collapsed="false">
      <c r="A15" s="21" t="s">
        <v>2415</v>
      </c>
      <c r="B15" s="11" t="s">
        <v>2421</v>
      </c>
      <c r="C15" s="11" t="s">
        <v>397</v>
      </c>
      <c r="D15" s="21" t="s">
        <v>396</v>
      </c>
      <c r="E15" s="21" t="s">
        <v>100</v>
      </c>
      <c r="F15" s="21" t="s">
        <v>2406</v>
      </c>
      <c r="G15" s="21" t="s">
        <v>2407</v>
      </c>
      <c r="H15" s="21"/>
    </row>
    <row r="16" customFormat="false" ht="15" hidden="false" customHeight="false" outlineLevel="0" collapsed="false">
      <c r="A16" s="22" t="s">
        <v>2415</v>
      </c>
      <c r="B16" s="17" t="s">
        <v>2422</v>
      </c>
      <c r="C16" s="17" t="s">
        <v>388</v>
      </c>
      <c r="D16" s="22" t="s">
        <v>387</v>
      </c>
      <c r="E16" s="22" t="s">
        <v>100</v>
      </c>
      <c r="F16" s="22" t="s">
        <v>2406</v>
      </c>
      <c r="G16" s="22" t="s">
        <v>2407</v>
      </c>
      <c r="H16" s="22"/>
    </row>
    <row r="17" customFormat="false" ht="15" hidden="false" customHeight="false" outlineLevel="0" collapsed="false">
      <c r="A17" s="21" t="s">
        <v>2415</v>
      </c>
      <c r="B17" s="11" t="s">
        <v>2423</v>
      </c>
      <c r="C17" s="11" t="s">
        <v>1507</v>
      </c>
      <c r="D17" s="21" t="s">
        <v>1505</v>
      </c>
      <c r="E17" s="21" t="s">
        <v>100</v>
      </c>
      <c r="F17" s="21" t="s">
        <v>2406</v>
      </c>
      <c r="G17" s="21" t="s">
        <v>2407</v>
      </c>
      <c r="H17" s="21"/>
    </row>
    <row r="18" customFormat="false" ht="15" hidden="false" customHeight="false" outlineLevel="0" collapsed="false">
      <c r="A18" s="22" t="s">
        <v>2415</v>
      </c>
      <c r="B18" s="17" t="s">
        <v>2424</v>
      </c>
      <c r="C18" s="17" t="s">
        <v>2425</v>
      </c>
      <c r="D18" s="22" t="s">
        <v>1556</v>
      </c>
      <c r="E18" s="22" t="s">
        <v>100</v>
      </c>
      <c r="F18" s="22" t="s">
        <v>2406</v>
      </c>
      <c r="G18" s="22" t="s">
        <v>2407</v>
      </c>
      <c r="H18" s="22"/>
    </row>
    <row r="19" customFormat="false" ht="15" hidden="false" customHeight="false" outlineLevel="0" collapsed="false">
      <c r="A19" s="21" t="s">
        <v>2426</v>
      </c>
      <c r="B19" s="11" t="s">
        <v>2427</v>
      </c>
      <c r="C19" s="11" t="s">
        <v>2428</v>
      </c>
      <c r="D19" s="21" t="s">
        <v>104</v>
      </c>
      <c r="E19" s="21" t="s">
        <v>100</v>
      </c>
      <c r="F19" s="21" t="s">
        <v>2406</v>
      </c>
      <c r="G19" s="21" t="s">
        <v>2407</v>
      </c>
      <c r="H19" s="21"/>
    </row>
    <row r="20" customFormat="false" ht="15" hidden="false" customHeight="false" outlineLevel="0" collapsed="false">
      <c r="A20" s="22" t="s">
        <v>2426</v>
      </c>
      <c r="B20" s="17" t="s">
        <v>2429</v>
      </c>
      <c r="C20" s="17" t="s">
        <v>2430</v>
      </c>
      <c r="D20" s="22" t="s">
        <v>1585</v>
      </c>
      <c r="E20" s="22" t="s">
        <v>100</v>
      </c>
      <c r="F20" s="22" t="s">
        <v>2406</v>
      </c>
      <c r="G20" s="22" t="s">
        <v>2407</v>
      </c>
      <c r="H20" s="22"/>
    </row>
    <row r="21" customFormat="false" ht="15" hidden="false" customHeight="false" outlineLevel="0" collapsed="false">
      <c r="A21" s="21" t="s">
        <v>2426</v>
      </c>
      <c r="B21" s="11" t="s">
        <v>2431</v>
      </c>
      <c r="C21" s="11" t="s">
        <v>2432</v>
      </c>
      <c r="D21" s="21" t="s">
        <v>145</v>
      </c>
      <c r="E21" s="21" t="s">
        <v>100</v>
      </c>
      <c r="F21" s="21" t="s">
        <v>2406</v>
      </c>
      <c r="G21" s="21" t="s">
        <v>2407</v>
      </c>
      <c r="H21" s="21"/>
    </row>
    <row r="22" customFormat="false" ht="15" hidden="false" customHeight="false" outlineLevel="0" collapsed="false">
      <c r="A22" s="22" t="s">
        <v>2433</v>
      </c>
      <c r="B22" s="17" t="s">
        <v>2434</v>
      </c>
      <c r="C22" s="17" t="s">
        <v>2435</v>
      </c>
      <c r="D22" s="22" t="s">
        <v>1652</v>
      </c>
      <c r="E22" s="22" t="s">
        <v>100</v>
      </c>
      <c r="F22" s="22" t="s">
        <v>2406</v>
      </c>
      <c r="G22" s="22" t="s">
        <v>2407</v>
      </c>
      <c r="H22" s="22"/>
    </row>
    <row r="23" customFormat="false" ht="15" hidden="false" customHeight="false" outlineLevel="0" collapsed="false">
      <c r="A23" s="21" t="s">
        <v>2433</v>
      </c>
      <c r="B23" s="11" t="s">
        <v>2436</v>
      </c>
      <c r="C23" s="11" t="s">
        <v>2437</v>
      </c>
      <c r="D23" s="21" t="s">
        <v>1658</v>
      </c>
      <c r="E23" s="21" t="s">
        <v>100</v>
      </c>
      <c r="F23" s="21" t="s">
        <v>2406</v>
      </c>
      <c r="G23" s="21" t="s">
        <v>2407</v>
      </c>
      <c r="H23" s="21"/>
    </row>
    <row r="24" customFormat="false" ht="15" hidden="false" customHeight="false" outlineLevel="0" collapsed="false">
      <c r="A24" s="22" t="s">
        <v>2433</v>
      </c>
      <c r="B24" s="17" t="s">
        <v>2438</v>
      </c>
      <c r="C24" s="17" t="s">
        <v>2439</v>
      </c>
      <c r="D24" s="22" t="s">
        <v>1662</v>
      </c>
      <c r="E24" s="22" t="s">
        <v>100</v>
      </c>
      <c r="F24" s="22" t="s">
        <v>2406</v>
      </c>
      <c r="G24" s="22" t="s">
        <v>2407</v>
      </c>
      <c r="H24" s="22"/>
    </row>
    <row r="25" customFormat="false" ht="15" hidden="false" customHeight="false" outlineLevel="0" collapsed="false">
      <c r="A25" s="21" t="s">
        <v>2440</v>
      </c>
      <c r="B25" s="11" t="s">
        <v>2441</v>
      </c>
      <c r="C25" s="11" t="s">
        <v>1668</v>
      </c>
      <c r="D25" s="21" t="s">
        <v>1667</v>
      </c>
      <c r="E25" s="21" t="s">
        <v>100</v>
      </c>
      <c r="F25" s="21" t="s">
        <v>2406</v>
      </c>
      <c r="G25" s="21" t="s">
        <v>2407</v>
      </c>
      <c r="H25" s="21"/>
    </row>
    <row r="26" customFormat="false" ht="23.85" hidden="false" customHeight="false" outlineLevel="0" collapsed="false">
      <c r="A26" s="22" t="s">
        <v>2440</v>
      </c>
      <c r="B26" s="17" t="s">
        <v>2442</v>
      </c>
      <c r="C26" s="17" t="s">
        <v>2443</v>
      </c>
      <c r="D26" s="22" t="s">
        <v>1671</v>
      </c>
      <c r="E26" s="22" t="s">
        <v>100</v>
      </c>
      <c r="F26" s="22" t="s">
        <v>2406</v>
      </c>
      <c r="G26" s="22" t="s">
        <v>2407</v>
      </c>
      <c r="H26" s="22"/>
    </row>
    <row r="27" customFormat="false" ht="15" hidden="false" customHeight="false" outlineLevel="0" collapsed="false">
      <c r="A27" s="21" t="s">
        <v>2440</v>
      </c>
      <c r="B27" s="11" t="s">
        <v>2444</v>
      </c>
      <c r="C27" s="11" t="s">
        <v>1693</v>
      </c>
      <c r="D27" s="21" t="s">
        <v>1692</v>
      </c>
      <c r="E27" s="21" t="s">
        <v>100</v>
      </c>
      <c r="F27" s="21" t="s">
        <v>2406</v>
      </c>
      <c r="G27" s="21" t="s">
        <v>2407</v>
      </c>
      <c r="H27" s="21"/>
    </row>
    <row r="28" customFormat="false" ht="15" hidden="false" customHeight="false" outlineLevel="0" collapsed="false">
      <c r="A28" s="22" t="s">
        <v>2440</v>
      </c>
      <c r="B28" s="17" t="s">
        <v>2445</v>
      </c>
      <c r="C28" s="17" t="s">
        <v>1696</v>
      </c>
      <c r="D28" s="22" t="s">
        <v>515</v>
      </c>
      <c r="E28" s="22" t="s">
        <v>100</v>
      </c>
      <c r="F28" s="22" t="s">
        <v>2406</v>
      </c>
      <c r="G28" s="22" t="s">
        <v>2407</v>
      </c>
      <c r="H28" s="22"/>
    </row>
    <row r="29" customFormat="false" ht="15" hidden="false" customHeight="false" outlineLevel="0" collapsed="false">
      <c r="A29" s="21" t="s">
        <v>2440</v>
      </c>
      <c r="B29" s="11" t="s">
        <v>2446</v>
      </c>
      <c r="C29" s="11" t="s">
        <v>2447</v>
      </c>
      <c r="D29" s="21" t="s">
        <v>1676</v>
      </c>
      <c r="E29" s="21" t="s">
        <v>100</v>
      </c>
      <c r="F29" s="21" t="s">
        <v>2406</v>
      </c>
      <c r="G29" s="21" t="s">
        <v>2407</v>
      </c>
      <c r="H29" s="21"/>
    </row>
    <row r="30" customFormat="false" ht="15" hidden="false" customHeight="false" outlineLevel="0" collapsed="false">
      <c r="A30" s="22" t="s">
        <v>1123</v>
      </c>
      <c r="B30" s="17" t="s">
        <v>2448</v>
      </c>
      <c r="C30" s="17" t="s">
        <v>511</v>
      </c>
      <c r="D30" s="22" t="s">
        <v>510</v>
      </c>
      <c r="E30" s="22" t="s">
        <v>100</v>
      </c>
      <c r="F30" s="22" t="s">
        <v>2406</v>
      </c>
      <c r="G30" s="22" t="s">
        <v>2407</v>
      </c>
      <c r="H30" s="22"/>
    </row>
    <row r="31" customFormat="false" ht="15" hidden="false" customHeight="false" outlineLevel="0" collapsed="false">
      <c r="A31" s="21" t="s">
        <v>1123</v>
      </c>
      <c r="B31" s="11" t="s">
        <v>2449</v>
      </c>
      <c r="C31" s="11" t="s">
        <v>2450</v>
      </c>
      <c r="D31" s="21" t="s">
        <v>1681</v>
      </c>
      <c r="E31" s="21" t="s">
        <v>100</v>
      </c>
      <c r="F31" s="21" t="s">
        <v>2406</v>
      </c>
      <c r="G31" s="21" t="s">
        <v>2407</v>
      </c>
      <c r="H31" s="21"/>
    </row>
    <row r="32" customFormat="false" ht="15" hidden="false" customHeight="false" outlineLevel="0" collapsed="false">
      <c r="A32" s="22" t="s">
        <v>1123</v>
      </c>
      <c r="B32" s="17" t="s">
        <v>2451</v>
      </c>
      <c r="C32" s="17" t="s">
        <v>1141</v>
      </c>
      <c r="D32" s="22" t="s">
        <v>1140</v>
      </c>
      <c r="E32" s="22" t="s">
        <v>100</v>
      </c>
      <c r="F32" s="22" t="s">
        <v>2406</v>
      </c>
      <c r="G32" s="22" t="s">
        <v>2407</v>
      </c>
      <c r="H32" s="22"/>
    </row>
    <row r="33" customFormat="false" ht="23.85" hidden="false" customHeight="false" outlineLevel="0" collapsed="false">
      <c r="A33" s="21" t="s">
        <v>1123</v>
      </c>
      <c r="B33" s="11" t="s">
        <v>2452</v>
      </c>
      <c r="C33" s="11" t="s">
        <v>1168</v>
      </c>
      <c r="D33" s="21" t="s">
        <v>1167</v>
      </c>
      <c r="E33" s="21" t="s">
        <v>100</v>
      </c>
      <c r="F33" s="21" t="s">
        <v>2406</v>
      </c>
      <c r="G33" s="21" t="s">
        <v>2407</v>
      </c>
      <c r="H33" s="21"/>
    </row>
    <row r="34" customFormat="false" ht="15" hidden="false" customHeight="false" outlineLevel="0" collapsed="false">
      <c r="A34" s="22" t="s">
        <v>1123</v>
      </c>
      <c r="B34" s="17" t="s">
        <v>2453</v>
      </c>
      <c r="C34" s="17" t="s">
        <v>2454</v>
      </c>
      <c r="D34" s="22" t="s">
        <v>583</v>
      </c>
      <c r="E34" s="22" t="s">
        <v>100</v>
      </c>
      <c r="F34" s="22" t="s">
        <v>2406</v>
      </c>
      <c r="G34" s="22" t="s">
        <v>2407</v>
      </c>
      <c r="H34" s="22"/>
    </row>
    <row r="35" customFormat="false" ht="15" hidden="false" customHeight="false" outlineLevel="0" collapsed="false">
      <c r="A35" s="21" t="s">
        <v>1123</v>
      </c>
      <c r="B35" s="11" t="s">
        <v>2455</v>
      </c>
      <c r="C35" s="11" t="s">
        <v>2456</v>
      </c>
      <c r="D35" s="21" t="s">
        <v>1158</v>
      </c>
      <c r="E35" s="21" t="s">
        <v>100</v>
      </c>
      <c r="F35" s="21" t="s">
        <v>2457</v>
      </c>
      <c r="G35" s="21" t="s">
        <v>2407</v>
      </c>
      <c r="H35" s="21"/>
    </row>
    <row r="36" customFormat="false" ht="15" hidden="false" customHeight="false" outlineLevel="0" collapsed="false">
      <c r="A36" s="22" t="s">
        <v>2458</v>
      </c>
      <c r="B36" s="17" t="s">
        <v>2459</v>
      </c>
      <c r="C36" s="17" t="s">
        <v>2460</v>
      </c>
      <c r="D36" s="22" t="s">
        <v>1687</v>
      </c>
      <c r="E36" s="22" t="s">
        <v>100</v>
      </c>
      <c r="F36" s="22" t="s">
        <v>2406</v>
      </c>
      <c r="G36" s="22" t="s">
        <v>2407</v>
      </c>
      <c r="H36" s="22"/>
    </row>
    <row r="37" customFormat="false" ht="15" hidden="false" customHeight="false" outlineLevel="0" collapsed="false">
      <c r="A37" s="21" t="s">
        <v>2461</v>
      </c>
      <c r="B37" s="11" t="s">
        <v>2462</v>
      </c>
      <c r="C37" s="11" t="s">
        <v>2463</v>
      </c>
      <c r="D37" s="21" t="s">
        <v>1459</v>
      </c>
      <c r="E37" s="21" t="s">
        <v>100</v>
      </c>
      <c r="F37" s="21" t="s">
        <v>2406</v>
      </c>
      <c r="G37" s="21" t="s">
        <v>2407</v>
      </c>
      <c r="H37" s="21"/>
    </row>
    <row r="38" customFormat="false" ht="15" hidden="false" customHeight="false" outlineLevel="0" collapsed="false">
      <c r="A38" s="22" t="s">
        <v>2461</v>
      </c>
      <c r="B38" s="17" t="s">
        <v>2464</v>
      </c>
      <c r="C38" s="17" t="s">
        <v>1403</v>
      </c>
      <c r="D38" s="22" t="s">
        <v>1400</v>
      </c>
      <c r="E38" s="22" t="s">
        <v>100</v>
      </c>
      <c r="F38" s="22" t="s">
        <v>2406</v>
      </c>
      <c r="G38" s="22" t="s">
        <v>2407</v>
      </c>
      <c r="H38" s="22"/>
    </row>
    <row r="39" customFormat="false" ht="15" hidden="false" customHeight="false" outlineLevel="0" collapsed="false">
      <c r="A39" s="21" t="s">
        <v>2461</v>
      </c>
      <c r="B39" s="11" t="s">
        <v>2465</v>
      </c>
      <c r="C39" s="11" t="s">
        <v>2466</v>
      </c>
      <c r="D39" s="21" t="s">
        <v>1749</v>
      </c>
      <c r="E39" s="21" t="s">
        <v>100</v>
      </c>
      <c r="F39" s="21" t="s">
        <v>2406</v>
      </c>
      <c r="G39" s="21" t="s">
        <v>2407</v>
      </c>
      <c r="H39" s="21"/>
    </row>
    <row r="40" customFormat="false" ht="15" hidden="false" customHeight="false" outlineLevel="0" collapsed="false">
      <c r="A40" s="22" t="s">
        <v>2467</v>
      </c>
      <c r="B40" s="17" t="s">
        <v>2468</v>
      </c>
      <c r="C40" s="17" t="s">
        <v>2469</v>
      </c>
      <c r="D40" s="22" t="s">
        <v>1718</v>
      </c>
      <c r="E40" s="22" t="s">
        <v>100</v>
      </c>
      <c r="F40" s="22" t="s">
        <v>2406</v>
      </c>
      <c r="G40" s="22" t="s">
        <v>2407</v>
      </c>
      <c r="H40" s="22"/>
    </row>
    <row r="41" customFormat="false" ht="15" hidden="false" customHeight="false" outlineLevel="0" collapsed="false">
      <c r="A41" s="21" t="s">
        <v>2467</v>
      </c>
      <c r="B41" s="11" t="s">
        <v>2470</v>
      </c>
      <c r="C41" s="11" t="s">
        <v>2471</v>
      </c>
      <c r="D41" s="21" t="s">
        <v>1715</v>
      </c>
      <c r="E41" s="21" t="s">
        <v>100</v>
      </c>
      <c r="F41" s="21" t="s">
        <v>2406</v>
      </c>
      <c r="G41" s="21" t="s">
        <v>2407</v>
      </c>
      <c r="H41" s="21"/>
    </row>
    <row r="42" customFormat="false" ht="15" hidden="false" customHeight="false" outlineLevel="0" collapsed="false">
      <c r="A42" s="22" t="s">
        <v>2467</v>
      </c>
      <c r="B42" s="17" t="s">
        <v>2472</v>
      </c>
      <c r="C42" s="17" t="s">
        <v>2473</v>
      </c>
      <c r="D42" s="22" t="s">
        <v>1761</v>
      </c>
      <c r="E42" s="22" t="s">
        <v>100</v>
      </c>
      <c r="F42" s="22" t="s">
        <v>2406</v>
      </c>
      <c r="G42" s="22" t="s">
        <v>2407</v>
      </c>
      <c r="H42" s="22"/>
    </row>
    <row r="43" customFormat="false" ht="15" hidden="false" customHeight="false" outlineLevel="0" collapsed="false">
      <c r="A43" s="21" t="s">
        <v>2467</v>
      </c>
      <c r="B43" s="11" t="s">
        <v>2474</v>
      </c>
      <c r="C43" s="11" t="s">
        <v>2475</v>
      </c>
      <c r="D43" s="21" t="s">
        <v>1881</v>
      </c>
      <c r="E43" s="21" t="s">
        <v>130</v>
      </c>
      <c r="F43" s="21" t="s">
        <v>2414</v>
      </c>
      <c r="G43" s="21" t="s">
        <v>2407</v>
      </c>
      <c r="H43" s="21"/>
    </row>
    <row r="44" customFormat="false" ht="15" hidden="false" customHeight="false" outlineLevel="0" collapsed="false">
      <c r="A44" s="22" t="s">
        <v>2467</v>
      </c>
      <c r="B44" s="17" t="s">
        <v>2476</v>
      </c>
      <c r="C44" s="17" t="s">
        <v>1872</v>
      </c>
      <c r="D44" s="22" t="s">
        <v>1871</v>
      </c>
      <c r="E44" s="22" t="s">
        <v>100</v>
      </c>
      <c r="F44" s="22" t="s">
        <v>2406</v>
      </c>
      <c r="G44" s="22" t="s">
        <v>2407</v>
      </c>
      <c r="H44" s="22"/>
    </row>
    <row r="45" customFormat="false" ht="15" hidden="false" customHeight="false" outlineLevel="0" collapsed="false">
      <c r="A45" s="21" t="s">
        <v>2477</v>
      </c>
      <c r="B45" s="11" t="s">
        <v>2478</v>
      </c>
      <c r="C45" s="11" t="s">
        <v>2479</v>
      </c>
      <c r="D45" s="21" t="s">
        <v>1704</v>
      </c>
      <c r="E45" s="21" t="s">
        <v>100</v>
      </c>
      <c r="F45" s="21" t="s">
        <v>2457</v>
      </c>
      <c r="G45" s="21" t="s">
        <v>2407</v>
      </c>
      <c r="H45" s="21"/>
    </row>
    <row r="46" customFormat="false" ht="15" hidden="false" customHeight="false" outlineLevel="0" collapsed="false">
      <c r="A46" s="22" t="s">
        <v>2477</v>
      </c>
      <c r="B46" s="17" t="s">
        <v>2480</v>
      </c>
      <c r="C46" s="17" t="s">
        <v>2481</v>
      </c>
      <c r="D46" s="22" t="s">
        <v>1710</v>
      </c>
      <c r="E46" s="22" t="s">
        <v>100</v>
      </c>
      <c r="F46" s="22" t="s">
        <v>2482</v>
      </c>
      <c r="G46" s="22" t="s">
        <v>2407</v>
      </c>
      <c r="H46" s="22"/>
    </row>
    <row r="47" customFormat="false" ht="15" hidden="false" customHeight="false" outlineLevel="0" collapsed="false">
      <c r="A47" s="21" t="s">
        <v>2477</v>
      </c>
      <c r="B47" s="11" t="s">
        <v>2483</v>
      </c>
      <c r="C47" s="11" t="s">
        <v>2484</v>
      </c>
      <c r="D47" s="21" t="s">
        <v>1647</v>
      </c>
      <c r="E47" s="21" t="s">
        <v>100</v>
      </c>
      <c r="F47" s="21" t="s">
        <v>2406</v>
      </c>
      <c r="G47" s="21" t="s">
        <v>2407</v>
      </c>
      <c r="H47" s="21"/>
    </row>
    <row r="48" customFormat="false" ht="15" hidden="false" customHeight="false" outlineLevel="0" collapsed="false">
      <c r="A48" s="22" t="s">
        <v>2477</v>
      </c>
      <c r="B48" s="17" t="s">
        <v>2485</v>
      </c>
      <c r="C48" s="17" t="s">
        <v>2059</v>
      </c>
      <c r="D48" s="22" t="s">
        <v>1455</v>
      </c>
      <c r="E48" s="22" t="s">
        <v>100</v>
      </c>
      <c r="F48" s="22" t="s">
        <v>2406</v>
      </c>
      <c r="G48" s="22" t="s">
        <v>2407</v>
      </c>
      <c r="H48" s="22"/>
    </row>
    <row r="49" customFormat="false" ht="15" hidden="false" customHeight="false" outlineLevel="0" collapsed="false">
      <c r="A49" s="21" t="s">
        <v>2477</v>
      </c>
      <c r="B49" s="11" t="s">
        <v>2486</v>
      </c>
      <c r="C49" s="11" t="s">
        <v>1462</v>
      </c>
      <c r="D49" s="21" t="s">
        <v>1461</v>
      </c>
      <c r="E49" s="21" t="s">
        <v>100</v>
      </c>
      <c r="F49" s="21" t="s">
        <v>2406</v>
      </c>
      <c r="G49" s="21" t="s">
        <v>2407</v>
      </c>
      <c r="H49" s="21"/>
    </row>
    <row r="50" customFormat="false" ht="15" hidden="false" customHeight="false" outlineLevel="0" collapsed="false">
      <c r="A50" s="22" t="s">
        <v>2487</v>
      </c>
      <c r="B50" s="17" t="s">
        <v>2488</v>
      </c>
      <c r="C50" s="17" t="s">
        <v>2489</v>
      </c>
      <c r="D50" s="22" t="s">
        <v>1483</v>
      </c>
      <c r="E50" s="22" t="s">
        <v>100</v>
      </c>
      <c r="F50" s="22" t="s">
        <v>2457</v>
      </c>
      <c r="G50" s="22" t="s">
        <v>2407</v>
      </c>
      <c r="H50" s="22"/>
    </row>
    <row r="51" customFormat="false" ht="15" hidden="false" customHeight="false" outlineLevel="0" collapsed="false">
      <c r="A51" s="21" t="s">
        <v>2490</v>
      </c>
      <c r="B51" s="11" t="s">
        <v>2491</v>
      </c>
      <c r="C51" s="11" t="s">
        <v>2492</v>
      </c>
      <c r="D51" s="21" t="s">
        <v>1489</v>
      </c>
      <c r="E51" s="21" t="s">
        <v>100</v>
      </c>
      <c r="F51" s="21" t="s">
        <v>2482</v>
      </c>
      <c r="G51" s="21" t="s">
        <v>2407</v>
      </c>
      <c r="H51" s="21"/>
    </row>
    <row r="52" customFormat="false" ht="15" hidden="false" customHeight="false" outlineLevel="0" collapsed="false">
      <c r="A52" s="22" t="s">
        <v>2493</v>
      </c>
      <c r="B52" s="17" t="s">
        <v>2494</v>
      </c>
      <c r="C52" s="17" t="s">
        <v>2495</v>
      </c>
      <c r="D52" s="22" t="s">
        <v>1416</v>
      </c>
      <c r="E52" s="22" t="s">
        <v>100</v>
      </c>
      <c r="F52" s="22" t="s">
        <v>2406</v>
      </c>
      <c r="G52" s="22" t="s">
        <v>2407</v>
      </c>
      <c r="H52" s="22"/>
    </row>
    <row r="53" customFormat="false" ht="15" hidden="false" customHeight="false" outlineLevel="0" collapsed="false">
      <c r="A53" s="21" t="s">
        <v>2493</v>
      </c>
      <c r="B53" s="11" t="s">
        <v>2496</v>
      </c>
      <c r="C53" s="11" t="s">
        <v>1423</v>
      </c>
      <c r="D53" s="21" t="s">
        <v>1422</v>
      </c>
      <c r="E53" s="21" t="s">
        <v>100</v>
      </c>
      <c r="F53" s="21" t="s">
        <v>2406</v>
      </c>
      <c r="G53" s="21" t="s">
        <v>2407</v>
      </c>
      <c r="H53" s="21"/>
    </row>
    <row r="54" customFormat="false" ht="15" hidden="false" customHeight="false" outlineLevel="0" collapsed="false">
      <c r="A54" s="22" t="s">
        <v>2493</v>
      </c>
      <c r="B54" s="17" t="s">
        <v>2497</v>
      </c>
      <c r="C54" s="17" t="s">
        <v>2100</v>
      </c>
      <c r="D54" s="22" t="s">
        <v>1433</v>
      </c>
      <c r="E54" s="22" t="s">
        <v>100</v>
      </c>
      <c r="F54" s="22" t="s">
        <v>2406</v>
      </c>
      <c r="G54" s="22" t="s">
        <v>2407</v>
      </c>
      <c r="H54" s="22"/>
    </row>
    <row r="55" customFormat="false" ht="15" hidden="false" customHeight="false" outlineLevel="0" collapsed="false">
      <c r="A55" s="21" t="s">
        <v>2493</v>
      </c>
      <c r="B55" s="11" t="s">
        <v>2498</v>
      </c>
      <c r="C55" s="11" t="s">
        <v>522</v>
      </c>
      <c r="D55" s="21" t="s">
        <v>521</v>
      </c>
      <c r="E55" s="21" t="s">
        <v>100</v>
      </c>
      <c r="F55" s="21" t="s">
        <v>2406</v>
      </c>
      <c r="G55" s="21" t="s">
        <v>2407</v>
      </c>
      <c r="H55" s="21"/>
    </row>
    <row r="56" customFormat="false" ht="15" hidden="false" customHeight="false" outlineLevel="0" collapsed="false">
      <c r="A56" s="22" t="s">
        <v>2493</v>
      </c>
      <c r="B56" s="17" t="s">
        <v>2499</v>
      </c>
      <c r="C56" s="17" t="s">
        <v>2057</v>
      </c>
      <c r="D56" s="22" t="s">
        <v>1439</v>
      </c>
      <c r="E56" s="22" t="s">
        <v>100</v>
      </c>
      <c r="F56" s="22" t="s">
        <v>2406</v>
      </c>
      <c r="G56" s="22" t="s">
        <v>2407</v>
      </c>
      <c r="H56" s="22"/>
    </row>
    <row r="57" customFormat="false" ht="15" hidden="false" customHeight="false" outlineLevel="0" collapsed="false">
      <c r="A57" s="21" t="s">
        <v>2493</v>
      </c>
      <c r="B57" s="11" t="s">
        <v>2500</v>
      </c>
      <c r="C57" s="11" t="s">
        <v>1451</v>
      </c>
      <c r="D57" s="21" t="s">
        <v>1450</v>
      </c>
      <c r="E57" s="21" t="s">
        <v>100</v>
      </c>
      <c r="F57" s="21" t="s">
        <v>2406</v>
      </c>
      <c r="G57" s="21" t="s">
        <v>2407</v>
      </c>
      <c r="H57" s="21"/>
    </row>
    <row r="58" customFormat="false" ht="15" hidden="false" customHeight="false" outlineLevel="0" collapsed="false">
      <c r="A58" s="22" t="s">
        <v>2493</v>
      </c>
      <c r="B58" s="17" t="s">
        <v>2501</v>
      </c>
      <c r="C58" s="17" t="s">
        <v>1496</v>
      </c>
      <c r="D58" s="22" t="s">
        <v>1495</v>
      </c>
      <c r="E58" s="22" t="s">
        <v>100</v>
      </c>
      <c r="F58" s="22" t="s">
        <v>2406</v>
      </c>
      <c r="G58" s="22" t="s">
        <v>2407</v>
      </c>
      <c r="H58" s="22"/>
    </row>
    <row r="59" customFormat="false" ht="15" hidden="false" customHeight="false" outlineLevel="0" collapsed="false">
      <c r="A59" s="21" t="s">
        <v>2493</v>
      </c>
      <c r="B59" s="11" t="s">
        <v>2502</v>
      </c>
      <c r="C59" s="11" t="s">
        <v>2503</v>
      </c>
      <c r="D59" s="21" t="s">
        <v>1614</v>
      </c>
      <c r="E59" s="21" t="s">
        <v>100</v>
      </c>
      <c r="F59" s="21" t="s">
        <v>2406</v>
      </c>
      <c r="G59" s="21" t="s">
        <v>2407</v>
      </c>
      <c r="H59" s="21"/>
    </row>
    <row r="60" customFormat="false" ht="15" hidden="false" customHeight="false" outlineLevel="0" collapsed="false">
      <c r="A60" s="22" t="s">
        <v>2504</v>
      </c>
      <c r="B60" s="17" t="s">
        <v>2505</v>
      </c>
      <c r="C60" s="17" t="s">
        <v>1010</v>
      </c>
      <c r="D60" s="22" t="s">
        <v>1009</v>
      </c>
      <c r="E60" s="22" t="s">
        <v>100</v>
      </c>
      <c r="F60" s="22" t="s">
        <v>2406</v>
      </c>
      <c r="G60" s="22" t="s">
        <v>2407</v>
      </c>
      <c r="H60" s="22"/>
    </row>
    <row r="61" customFormat="false" ht="15" hidden="false" customHeight="false" outlineLevel="0" collapsed="false">
      <c r="A61" s="21" t="s">
        <v>2504</v>
      </c>
      <c r="B61" s="11" t="s">
        <v>2506</v>
      </c>
      <c r="C61" s="11" t="s">
        <v>2507</v>
      </c>
      <c r="D61" s="21" t="s">
        <v>991</v>
      </c>
      <c r="E61" s="21" t="s">
        <v>100</v>
      </c>
      <c r="F61" s="21" t="s">
        <v>2482</v>
      </c>
      <c r="G61" s="21" t="s">
        <v>2407</v>
      </c>
      <c r="H61" s="21"/>
    </row>
    <row r="62" customFormat="false" ht="15" hidden="false" customHeight="false" outlineLevel="0" collapsed="false">
      <c r="A62" s="22" t="s">
        <v>2504</v>
      </c>
      <c r="B62" s="17" t="s">
        <v>2508</v>
      </c>
      <c r="C62" s="17" t="s">
        <v>1837</v>
      </c>
      <c r="D62" s="22" t="s">
        <v>1836</v>
      </c>
      <c r="E62" s="22" t="s">
        <v>100</v>
      </c>
      <c r="F62" s="22" t="s">
        <v>2406</v>
      </c>
      <c r="G62" s="22" t="s">
        <v>2407</v>
      </c>
      <c r="H62" s="22"/>
    </row>
    <row r="63" customFormat="false" ht="15" hidden="false" customHeight="false" outlineLevel="0" collapsed="false">
      <c r="A63" s="21" t="s">
        <v>2509</v>
      </c>
      <c r="B63" s="11" t="s">
        <v>2510</v>
      </c>
      <c r="C63" s="11" t="s">
        <v>2511</v>
      </c>
      <c r="D63" s="21" t="s">
        <v>687</v>
      </c>
      <c r="E63" s="21" t="s">
        <v>100</v>
      </c>
      <c r="F63" s="21" t="s">
        <v>2406</v>
      </c>
      <c r="G63" s="21" t="s">
        <v>2407</v>
      </c>
      <c r="H63" s="21"/>
    </row>
    <row r="64" customFormat="false" ht="15" hidden="false" customHeight="false" outlineLevel="0" collapsed="false">
      <c r="A64" s="22" t="s">
        <v>2509</v>
      </c>
      <c r="B64" s="17" t="s">
        <v>2512</v>
      </c>
      <c r="C64" s="17" t="s">
        <v>709</v>
      </c>
      <c r="D64" s="22" t="s">
        <v>708</v>
      </c>
      <c r="E64" s="22" t="s">
        <v>100</v>
      </c>
      <c r="F64" s="22" t="s">
        <v>2406</v>
      </c>
      <c r="G64" s="22" t="s">
        <v>2407</v>
      </c>
      <c r="H64" s="22"/>
    </row>
    <row r="65" customFormat="false" ht="15" hidden="false" customHeight="false" outlineLevel="0" collapsed="false">
      <c r="A65" s="21" t="s">
        <v>2509</v>
      </c>
      <c r="B65" s="11" t="s">
        <v>2513</v>
      </c>
      <c r="C65" s="11" t="s">
        <v>714</v>
      </c>
      <c r="D65" s="21" t="s">
        <v>713</v>
      </c>
      <c r="E65" s="21" t="s">
        <v>100</v>
      </c>
      <c r="F65" s="21" t="s">
        <v>2406</v>
      </c>
      <c r="G65" s="21" t="s">
        <v>2407</v>
      </c>
      <c r="H65" s="21"/>
    </row>
    <row r="66" customFormat="false" ht="15" hidden="false" customHeight="false" outlineLevel="0" collapsed="false">
      <c r="A66" s="22" t="s">
        <v>2509</v>
      </c>
      <c r="B66" s="17" t="s">
        <v>2514</v>
      </c>
      <c r="C66" s="17" t="s">
        <v>2515</v>
      </c>
      <c r="D66" s="22" t="s">
        <v>664</v>
      </c>
      <c r="E66" s="22" t="s">
        <v>100</v>
      </c>
      <c r="F66" s="22" t="s">
        <v>2406</v>
      </c>
      <c r="G66" s="22" t="s">
        <v>2407</v>
      </c>
      <c r="H66" s="22"/>
    </row>
    <row r="67" customFormat="false" ht="15" hidden="false" customHeight="false" outlineLevel="0" collapsed="false">
      <c r="A67" s="21" t="s">
        <v>2509</v>
      </c>
      <c r="B67" s="11" t="s">
        <v>2516</v>
      </c>
      <c r="C67" s="11" t="s">
        <v>746</v>
      </c>
      <c r="D67" s="21" t="s">
        <v>745</v>
      </c>
      <c r="E67" s="21" t="s">
        <v>100</v>
      </c>
      <c r="F67" s="21" t="s">
        <v>2406</v>
      </c>
      <c r="G67" s="21" t="s">
        <v>2407</v>
      </c>
      <c r="H67" s="21"/>
    </row>
    <row r="68" customFormat="false" ht="15" hidden="false" customHeight="false" outlineLevel="0" collapsed="false">
      <c r="A68" s="22" t="s">
        <v>2509</v>
      </c>
      <c r="B68" s="17" t="s">
        <v>2517</v>
      </c>
      <c r="C68" s="17" t="s">
        <v>1314</v>
      </c>
      <c r="D68" s="22" t="s">
        <v>1313</v>
      </c>
      <c r="E68" s="22" t="s">
        <v>100</v>
      </c>
      <c r="F68" s="22" t="s">
        <v>2518</v>
      </c>
      <c r="G68" s="22" t="s">
        <v>2407</v>
      </c>
      <c r="H68" s="22"/>
    </row>
    <row r="69" customFormat="false" ht="15" hidden="false" customHeight="false" outlineLevel="0" collapsed="false">
      <c r="A69" s="21" t="s">
        <v>2509</v>
      </c>
      <c r="B69" s="11" t="s">
        <v>2519</v>
      </c>
      <c r="C69" s="11" t="s">
        <v>2520</v>
      </c>
      <c r="D69" s="21" t="s">
        <v>1830</v>
      </c>
      <c r="E69" s="21" t="s">
        <v>100</v>
      </c>
      <c r="F69" s="21" t="s">
        <v>2406</v>
      </c>
      <c r="G69" s="21" t="s">
        <v>2407</v>
      </c>
      <c r="H69" s="21"/>
    </row>
    <row r="70" customFormat="false" ht="15" hidden="false" customHeight="false" outlineLevel="0" collapsed="false">
      <c r="A70" s="22" t="s">
        <v>2521</v>
      </c>
      <c r="B70" s="17" t="s">
        <v>2522</v>
      </c>
      <c r="C70" s="17" t="s">
        <v>1946</v>
      </c>
      <c r="D70" s="22" t="s">
        <v>1945</v>
      </c>
      <c r="E70" s="22" t="s">
        <v>100</v>
      </c>
      <c r="F70" s="22" t="s">
        <v>2406</v>
      </c>
      <c r="G70" s="22" t="s">
        <v>2407</v>
      </c>
      <c r="H70" s="22"/>
    </row>
    <row r="71" customFormat="false" ht="15" hidden="false" customHeight="false" outlineLevel="0" collapsed="false">
      <c r="A71" s="21" t="s">
        <v>2523</v>
      </c>
      <c r="B71" s="11" t="s">
        <v>2524</v>
      </c>
      <c r="C71" s="11" t="s">
        <v>2525</v>
      </c>
      <c r="D71" s="21" t="s">
        <v>1969</v>
      </c>
      <c r="E71" s="21" t="s">
        <v>130</v>
      </c>
      <c r="F71" s="21" t="s">
        <v>2526</v>
      </c>
      <c r="G71" s="21" t="s">
        <v>2407</v>
      </c>
      <c r="H71" s="21"/>
    </row>
    <row r="73" customFormat="false" ht="15" hidden="false" customHeight="false" outlineLevel="0" collapsed="false">
      <c r="A73" s="5" t="s">
        <v>2527</v>
      </c>
      <c r="B73" s="4" t="s">
        <v>2528</v>
      </c>
      <c r="D73" s="46" t="n">
        <f aca="false">COUNTIFS(F5:F71,"Go-live blocker*",G5:G71,"&lt;&gt;Yes")</f>
        <v>64</v>
      </c>
    </row>
    <row r="74" customFormat="false" ht="15" hidden="false" customHeight="false" outlineLevel="0" collapsed="false">
      <c r="B74" s="4" t="s">
        <v>2529</v>
      </c>
      <c r="D74" s="3" t="str">
        <f aca="false">COUNTIF(G5:G71,"Yes")&amp;" of "&amp;COUNTA(B5:B71)</f>
        <v>0 of 67</v>
      </c>
    </row>
  </sheetData>
  <conditionalFormatting sqref="G5:G71">
    <cfRule type="cellIs" priority="2" operator="equal" aboveAverage="0" equalAverage="0" bottom="0" percent="0" rank="0" text="" dxfId="7">
      <formula>"Yes"</formula>
    </cfRule>
    <cfRule type="cellIs" priority="3" operator="equal" aboveAverage="0" equalAverage="0" bottom="0" percent="0" rank="0" text="" dxfId="8">
      <formula>"No"</formula>
    </cfRule>
  </conditionalFormatting>
  <dataValidations count="1">
    <dataValidation allowBlank="true" errorStyle="stop" operator="between" showDropDown="false" showErrorMessage="false" showInputMessage="false" sqref="G5:G71" type="list">
      <formula1>"No,In progress,Yes,N/A"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7"/>
    <col collapsed="false" customWidth="true" hidden="false" outlineLevel="0" max="3" min="3" style="0" width="52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9"/>
    <col collapsed="false" customWidth="true" hidden="false" outlineLevel="0" max="7" min="7" style="0" width="60"/>
    <col collapsed="false" customWidth="true" hidden="false" outlineLevel="0" max="8" min="8" style="0" width="26"/>
    <col collapsed="false" customWidth="true" hidden="false" outlineLevel="0" max="9" min="9" style="0" width="18"/>
  </cols>
  <sheetData>
    <row r="1" customFormat="false" ht="19.7" hidden="false" customHeight="false" outlineLevel="0" collapsed="false">
      <c r="A1" s="1" t="s">
        <v>2530</v>
      </c>
    </row>
    <row r="3" customFormat="false" ht="15" hidden="false" customHeight="false" outlineLevel="0" collapsed="false">
      <c r="A3" s="8" t="s">
        <v>73</v>
      </c>
      <c r="B3" s="8" t="s">
        <v>2531</v>
      </c>
      <c r="C3" s="8" t="s">
        <v>2532</v>
      </c>
      <c r="D3" s="8" t="s">
        <v>2533</v>
      </c>
      <c r="E3" s="8" t="s">
        <v>2534</v>
      </c>
      <c r="F3" s="8" t="s">
        <v>2535</v>
      </c>
      <c r="G3" s="8" t="s">
        <v>2536</v>
      </c>
      <c r="H3" s="8" t="s">
        <v>2537</v>
      </c>
      <c r="I3" s="8" t="s">
        <v>233</v>
      </c>
    </row>
    <row r="4" customFormat="false" ht="35.05" hidden="false" customHeight="false" outlineLevel="0" collapsed="false">
      <c r="A4" s="11" t="s">
        <v>2538</v>
      </c>
      <c r="B4" s="11" t="s">
        <v>2509</v>
      </c>
      <c r="C4" s="11" t="s">
        <v>2539</v>
      </c>
      <c r="D4" s="15" t="n">
        <v>5</v>
      </c>
      <c r="E4" s="15" t="n">
        <v>3</v>
      </c>
      <c r="F4" s="15" t="n">
        <f aca="false">D4*E4</f>
        <v>15</v>
      </c>
      <c r="G4" s="11" t="s">
        <v>2540</v>
      </c>
      <c r="H4" s="11" t="s">
        <v>2541</v>
      </c>
      <c r="I4" s="11" t="s">
        <v>2542</v>
      </c>
    </row>
    <row r="5" customFormat="false" ht="35.05" hidden="false" customHeight="false" outlineLevel="0" collapsed="false">
      <c r="A5" s="17" t="s">
        <v>2543</v>
      </c>
      <c r="B5" s="17" t="s">
        <v>2509</v>
      </c>
      <c r="C5" s="17" t="s">
        <v>2544</v>
      </c>
      <c r="D5" s="18" t="n">
        <v>5</v>
      </c>
      <c r="E5" s="18" t="n">
        <v>2</v>
      </c>
      <c r="F5" s="18" t="n">
        <f aca="false">D5*E5</f>
        <v>10</v>
      </c>
      <c r="G5" s="17" t="s">
        <v>2545</v>
      </c>
      <c r="H5" s="17" t="s">
        <v>2546</v>
      </c>
      <c r="I5" s="17" t="s">
        <v>2542</v>
      </c>
    </row>
    <row r="6" customFormat="false" ht="35.05" hidden="false" customHeight="false" outlineLevel="0" collapsed="false">
      <c r="A6" s="11" t="s">
        <v>2547</v>
      </c>
      <c r="B6" s="11" t="s">
        <v>319</v>
      </c>
      <c r="C6" s="11" t="s">
        <v>2548</v>
      </c>
      <c r="D6" s="15" t="n">
        <v>5</v>
      </c>
      <c r="E6" s="15" t="n">
        <v>3</v>
      </c>
      <c r="F6" s="15" t="n">
        <f aca="false">D6*E6</f>
        <v>15</v>
      </c>
      <c r="G6" s="11" t="s">
        <v>2549</v>
      </c>
      <c r="H6" s="11" t="s">
        <v>2550</v>
      </c>
      <c r="I6" s="11" t="s">
        <v>2551</v>
      </c>
    </row>
    <row r="7" customFormat="false" ht="35.05" hidden="false" customHeight="false" outlineLevel="0" collapsed="false">
      <c r="A7" s="17" t="s">
        <v>2552</v>
      </c>
      <c r="B7" s="17" t="s">
        <v>319</v>
      </c>
      <c r="C7" s="17" t="s">
        <v>2553</v>
      </c>
      <c r="D7" s="18" t="n">
        <v>4</v>
      </c>
      <c r="E7" s="18" t="n">
        <v>3</v>
      </c>
      <c r="F7" s="18" t="n">
        <f aca="false">D7*E7</f>
        <v>12</v>
      </c>
      <c r="G7" s="17" t="s">
        <v>2554</v>
      </c>
      <c r="H7" s="17" t="s">
        <v>2555</v>
      </c>
      <c r="I7" s="17" t="s">
        <v>2551</v>
      </c>
    </row>
    <row r="8" customFormat="false" ht="35.05" hidden="false" customHeight="false" outlineLevel="0" collapsed="false">
      <c r="A8" s="11" t="s">
        <v>2556</v>
      </c>
      <c r="B8" s="11" t="s">
        <v>2557</v>
      </c>
      <c r="C8" s="11" t="s">
        <v>2558</v>
      </c>
      <c r="D8" s="15" t="n">
        <v>5</v>
      </c>
      <c r="E8" s="15" t="n">
        <v>4</v>
      </c>
      <c r="F8" s="15" t="n">
        <f aca="false">D8*E8</f>
        <v>20</v>
      </c>
      <c r="G8" s="11" t="s">
        <v>2559</v>
      </c>
      <c r="H8" s="11" t="s">
        <v>2560</v>
      </c>
      <c r="I8" s="11" t="s">
        <v>2561</v>
      </c>
    </row>
    <row r="9" customFormat="false" ht="35.05" hidden="false" customHeight="false" outlineLevel="0" collapsed="false">
      <c r="A9" s="17" t="s">
        <v>2562</v>
      </c>
      <c r="B9" s="17" t="s">
        <v>1402</v>
      </c>
      <c r="C9" s="17" t="s">
        <v>2563</v>
      </c>
      <c r="D9" s="18" t="n">
        <v>5</v>
      </c>
      <c r="E9" s="18" t="n">
        <v>3</v>
      </c>
      <c r="F9" s="18" t="n">
        <f aca="false">D9*E9</f>
        <v>15</v>
      </c>
      <c r="G9" s="17" t="s">
        <v>2564</v>
      </c>
      <c r="H9" s="17" t="s">
        <v>2565</v>
      </c>
      <c r="I9" s="17" t="s">
        <v>2566</v>
      </c>
    </row>
    <row r="10" customFormat="false" ht="23.85" hidden="false" customHeight="false" outlineLevel="0" collapsed="false">
      <c r="A10" s="11" t="s">
        <v>2567</v>
      </c>
      <c r="B10" s="11" t="s">
        <v>1402</v>
      </c>
      <c r="C10" s="11" t="s">
        <v>2568</v>
      </c>
      <c r="D10" s="15" t="n">
        <v>4</v>
      </c>
      <c r="E10" s="15" t="n">
        <v>3</v>
      </c>
      <c r="F10" s="15" t="n">
        <f aca="false">D10*E10</f>
        <v>12</v>
      </c>
      <c r="G10" s="11" t="s">
        <v>2569</v>
      </c>
      <c r="H10" s="11" t="s">
        <v>2570</v>
      </c>
      <c r="I10" s="11" t="s">
        <v>2571</v>
      </c>
    </row>
    <row r="11" customFormat="false" ht="35.05" hidden="false" customHeight="false" outlineLevel="0" collapsed="false">
      <c r="A11" s="17" t="s">
        <v>2572</v>
      </c>
      <c r="B11" s="17" t="s">
        <v>1402</v>
      </c>
      <c r="C11" s="17" t="s">
        <v>2573</v>
      </c>
      <c r="D11" s="18" t="n">
        <v>4</v>
      </c>
      <c r="E11" s="18" t="n">
        <v>4</v>
      </c>
      <c r="F11" s="18" t="n">
        <f aca="false">D11*E11</f>
        <v>16</v>
      </c>
      <c r="G11" s="17" t="s">
        <v>2574</v>
      </c>
      <c r="H11" s="17" t="s">
        <v>1158</v>
      </c>
      <c r="I11" s="17" t="s">
        <v>2561</v>
      </c>
    </row>
    <row r="12" customFormat="false" ht="35.05" hidden="false" customHeight="false" outlineLevel="0" collapsed="false">
      <c r="A12" s="11" t="s">
        <v>2575</v>
      </c>
      <c r="B12" s="11" t="s">
        <v>1948</v>
      </c>
      <c r="C12" s="11" t="s">
        <v>2576</v>
      </c>
      <c r="D12" s="15" t="n">
        <v>5</v>
      </c>
      <c r="E12" s="15" t="n">
        <v>4</v>
      </c>
      <c r="F12" s="15" t="n">
        <f aca="false">D12*E12</f>
        <v>20</v>
      </c>
      <c r="G12" s="11" t="s">
        <v>2577</v>
      </c>
      <c r="H12" s="11" t="s">
        <v>1945</v>
      </c>
      <c r="I12" s="11" t="s">
        <v>2578</v>
      </c>
    </row>
    <row r="13" customFormat="false" ht="35.05" hidden="false" customHeight="false" outlineLevel="0" collapsed="false">
      <c r="A13" s="17" t="s">
        <v>2579</v>
      </c>
      <c r="B13" s="17" t="s">
        <v>1948</v>
      </c>
      <c r="C13" s="17" t="s">
        <v>2580</v>
      </c>
      <c r="D13" s="18" t="n">
        <v>4</v>
      </c>
      <c r="E13" s="18" t="n">
        <v>4</v>
      </c>
      <c r="F13" s="18" t="n">
        <f aca="false">D13*E13</f>
        <v>16</v>
      </c>
      <c r="G13" s="17" t="s">
        <v>2581</v>
      </c>
      <c r="H13" s="17" t="s">
        <v>2582</v>
      </c>
      <c r="I13" s="17" t="s">
        <v>2583</v>
      </c>
    </row>
    <row r="14" customFormat="false" ht="23.85" hidden="false" customHeight="false" outlineLevel="0" collapsed="false">
      <c r="A14" s="11" t="s">
        <v>2584</v>
      </c>
      <c r="B14" s="11" t="s">
        <v>1948</v>
      </c>
      <c r="C14" s="11" t="s">
        <v>2585</v>
      </c>
      <c r="D14" s="15" t="n">
        <v>4</v>
      </c>
      <c r="E14" s="15" t="n">
        <v>4</v>
      </c>
      <c r="F14" s="15" t="n">
        <f aca="false">D14*E14</f>
        <v>16</v>
      </c>
      <c r="G14" s="11" t="s">
        <v>2586</v>
      </c>
      <c r="H14" s="11" t="s">
        <v>2587</v>
      </c>
      <c r="I14" s="11" t="s">
        <v>2588</v>
      </c>
    </row>
    <row r="15" customFormat="false" ht="23.85" hidden="false" customHeight="false" outlineLevel="0" collapsed="false">
      <c r="A15" s="17" t="s">
        <v>2589</v>
      </c>
      <c r="B15" s="17" t="s">
        <v>2590</v>
      </c>
      <c r="C15" s="17" t="s">
        <v>2591</v>
      </c>
      <c r="D15" s="18" t="n">
        <v>4</v>
      </c>
      <c r="E15" s="18" t="n">
        <v>3</v>
      </c>
      <c r="F15" s="18" t="n">
        <f aca="false">D15*E15</f>
        <v>12</v>
      </c>
      <c r="G15" s="17" t="s">
        <v>2592</v>
      </c>
      <c r="H15" s="17" t="s">
        <v>2593</v>
      </c>
      <c r="I15" s="17" t="s">
        <v>2583</v>
      </c>
    </row>
    <row r="16" customFormat="false" ht="35.05" hidden="false" customHeight="false" outlineLevel="0" collapsed="false">
      <c r="A16" s="11" t="s">
        <v>2594</v>
      </c>
      <c r="B16" s="11" t="s">
        <v>2590</v>
      </c>
      <c r="C16" s="11" t="s">
        <v>2595</v>
      </c>
      <c r="D16" s="15" t="n">
        <v>5</v>
      </c>
      <c r="E16" s="15" t="n">
        <v>3</v>
      </c>
      <c r="F16" s="15" t="n">
        <f aca="false">D16*E16</f>
        <v>15</v>
      </c>
      <c r="G16" s="11" t="s">
        <v>2596</v>
      </c>
      <c r="H16" s="11" t="s">
        <v>2597</v>
      </c>
      <c r="I16" s="11" t="s">
        <v>2551</v>
      </c>
    </row>
    <row r="17" customFormat="false" ht="23.85" hidden="false" customHeight="false" outlineLevel="0" collapsed="false">
      <c r="A17" s="17" t="s">
        <v>2598</v>
      </c>
      <c r="B17" s="17" t="s">
        <v>2599</v>
      </c>
      <c r="C17" s="17" t="s">
        <v>2600</v>
      </c>
      <c r="D17" s="18" t="n">
        <v>3</v>
      </c>
      <c r="E17" s="18" t="n">
        <v>4</v>
      </c>
      <c r="F17" s="18" t="n">
        <f aca="false">D17*E17</f>
        <v>12</v>
      </c>
      <c r="G17" s="17" t="s">
        <v>2601</v>
      </c>
      <c r="H17" s="17" t="s">
        <v>2602</v>
      </c>
      <c r="I17" s="17" t="s">
        <v>2603</v>
      </c>
    </row>
    <row r="18" customFormat="false" ht="35.05" hidden="false" customHeight="false" outlineLevel="0" collapsed="false">
      <c r="A18" s="11" t="s">
        <v>2604</v>
      </c>
      <c r="B18" s="11" t="s">
        <v>2605</v>
      </c>
      <c r="C18" s="11" t="s">
        <v>2606</v>
      </c>
      <c r="D18" s="15" t="n">
        <v>4</v>
      </c>
      <c r="E18" s="15" t="n">
        <v>4</v>
      </c>
      <c r="F18" s="15" t="n">
        <f aca="false">D18*E18</f>
        <v>16</v>
      </c>
      <c r="G18" s="11" t="s">
        <v>2607</v>
      </c>
      <c r="H18" s="11" t="s">
        <v>2608</v>
      </c>
      <c r="I18" s="11" t="s">
        <v>2609</v>
      </c>
    </row>
    <row r="19" customFormat="false" ht="23.85" hidden="false" customHeight="false" outlineLevel="0" collapsed="false">
      <c r="A19" s="17" t="s">
        <v>2610</v>
      </c>
      <c r="B19" s="17" t="s">
        <v>2605</v>
      </c>
      <c r="C19" s="17" t="s">
        <v>2611</v>
      </c>
      <c r="D19" s="18" t="n">
        <v>4</v>
      </c>
      <c r="E19" s="18" t="n">
        <v>3</v>
      </c>
      <c r="F19" s="18" t="n">
        <f aca="false">D19*E19</f>
        <v>12</v>
      </c>
      <c r="G19" s="17" t="s">
        <v>2612</v>
      </c>
      <c r="H19" s="17" t="s">
        <v>2613</v>
      </c>
      <c r="I19" s="17" t="s">
        <v>2614</v>
      </c>
    </row>
    <row r="20" customFormat="false" ht="23.85" hidden="false" customHeight="false" outlineLevel="0" collapsed="false">
      <c r="A20" s="11" t="s">
        <v>2615</v>
      </c>
      <c r="B20" s="11" t="s">
        <v>2616</v>
      </c>
      <c r="C20" s="11" t="s">
        <v>2617</v>
      </c>
      <c r="D20" s="15" t="n">
        <v>4</v>
      </c>
      <c r="E20" s="15" t="n">
        <v>3</v>
      </c>
      <c r="F20" s="15" t="n">
        <f aca="false">D20*E20</f>
        <v>12</v>
      </c>
      <c r="G20" s="11" t="s">
        <v>2618</v>
      </c>
      <c r="H20" s="11" t="s">
        <v>2619</v>
      </c>
      <c r="I20" s="11" t="s">
        <v>2583</v>
      </c>
    </row>
    <row r="21" customFormat="false" ht="23.85" hidden="false" customHeight="false" outlineLevel="0" collapsed="false">
      <c r="A21" s="17" t="s">
        <v>2620</v>
      </c>
      <c r="B21" s="17" t="s">
        <v>110</v>
      </c>
      <c r="C21" s="17" t="s">
        <v>2621</v>
      </c>
      <c r="D21" s="18" t="n">
        <v>4</v>
      </c>
      <c r="E21" s="18" t="n">
        <v>3</v>
      </c>
      <c r="F21" s="18" t="n">
        <f aca="false">D21*E21</f>
        <v>12</v>
      </c>
      <c r="G21" s="17" t="s">
        <v>2622</v>
      </c>
      <c r="H21" s="17" t="s">
        <v>2623</v>
      </c>
      <c r="I21" s="17" t="s">
        <v>2624</v>
      </c>
    </row>
    <row r="22" customFormat="false" ht="23.85" hidden="false" customHeight="false" outlineLevel="0" collapsed="false">
      <c r="A22" s="11" t="s">
        <v>2625</v>
      </c>
      <c r="B22" s="11" t="s">
        <v>2626</v>
      </c>
      <c r="C22" s="11" t="s">
        <v>2627</v>
      </c>
      <c r="D22" s="15" t="n">
        <v>4</v>
      </c>
      <c r="E22" s="15" t="n">
        <v>2</v>
      </c>
      <c r="F22" s="15" t="n">
        <f aca="false">D22*E22</f>
        <v>8</v>
      </c>
      <c r="G22" s="11" t="s">
        <v>2628</v>
      </c>
      <c r="H22" s="11" t="s">
        <v>2629</v>
      </c>
      <c r="I22" s="11" t="s">
        <v>2372</v>
      </c>
    </row>
    <row r="23" customFormat="false" ht="35.05" hidden="false" customHeight="false" outlineLevel="0" collapsed="false">
      <c r="A23" s="17" t="s">
        <v>2630</v>
      </c>
      <c r="B23" s="17" t="s">
        <v>2557</v>
      </c>
      <c r="C23" s="17" t="s">
        <v>2631</v>
      </c>
      <c r="D23" s="18" t="n">
        <v>3</v>
      </c>
      <c r="E23" s="18" t="n">
        <v>3</v>
      </c>
      <c r="F23" s="18" t="n">
        <f aca="false">D23*E23</f>
        <v>9</v>
      </c>
      <c r="G23" s="17" t="s">
        <v>2632</v>
      </c>
      <c r="H23" s="17" t="s">
        <v>2633</v>
      </c>
      <c r="I23" s="17" t="s">
        <v>2561</v>
      </c>
    </row>
    <row r="25" customFormat="false" ht="15" hidden="false" customHeight="false" outlineLevel="0" collapsed="false">
      <c r="A25" s="14" t="s">
        <v>2634</v>
      </c>
    </row>
  </sheetData>
  <conditionalFormatting sqref="F4:F23">
    <cfRule type="cellIs" priority="2" operator="greaterThanOrEqual" aboveAverage="0" equalAverage="0" bottom="0" percent="0" rank="0" text="" dxfId="13">
      <formula>15</formula>
    </cfRule>
    <cfRule type="cellIs" priority="3" operator="between" aboveAverage="0" equalAverage="0" bottom="0" percent="0" rank="0" text="" dxfId="11">
      <formula>9</formula>
      <formula>14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4"/>
    <col collapsed="false" customWidth="true" hidden="false" outlineLevel="0" max="3" min="3" style="0" width="86"/>
    <col collapsed="false" customWidth="true" hidden="false" outlineLevel="0" max="4" min="4" style="0" width="26"/>
  </cols>
  <sheetData>
    <row r="1" customFormat="false" ht="19.7" hidden="false" customHeight="false" outlineLevel="0" collapsed="false">
      <c r="A1" s="1" t="s">
        <v>2635</v>
      </c>
    </row>
    <row r="2" customFormat="false" ht="15" hidden="false" customHeight="false" outlineLevel="0" collapsed="false">
      <c r="A2" s="14" t="s">
        <v>2636</v>
      </c>
    </row>
    <row r="4" customFormat="false" ht="15" hidden="false" customHeight="false" outlineLevel="0" collapsed="false">
      <c r="A4" s="8" t="s">
        <v>2637</v>
      </c>
      <c r="B4" s="8" t="s">
        <v>2638</v>
      </c>
      <c r="C4" s="8" t="s">
        <v>2639</v>
      </c>
      <c r="D4" s="8" t="s">
        <v>2640</v>
      </c>
    </row>
    <row r="5" customFormat="false" ht="35.05" hidden="false" customHeight="false" outlineLevel="0" collapsed="false">
      <c r="A5" s="11" t="s">
        <v>2641</v>
      </c>
      <c r="B5" s="47" t="s">
        <v>2642</v>
      </c>
      <c r="C5" s="11" t="s">
        <v>2643</v>
      </c>
      <c r="D5" s="11" t="s">
        <v>2644</v>
      </c>
    </row>
    <row r="6" customFormat="false" ht="23.85" hidden="false" customHeight="false" outlineLevel="0" collapsed="false">
      <c r="A6" s="17" t="s">
        <v>2645</v>
      </c>
      <c r="B6" s="47" t="s">
        <v>2642</v>
      </c>
      <c r="C6" s="17" t="s">
        <v>2646</v>
      </c>
      <c r="D6" s="17" t="s">
        <v>2647</v>
      </c>
    </row>
    <row r="7" customFormat="false" ht="23.85" hidden="false" customHeight="false" outlineLevel="0" collapsed="false">
      <c r="A7" s="11" t="s">
        <v>2648</v>
      </c>
      <c r="B7" s="47" t="s">
        <v>2642</v>
      </c>
      <c r="C7" s="11" t="s">
        <v>2649</v>
      </c>
      <c r="D7" s="11" t="s">
        <v>2650</v>
      </c>
    </row>
    <row r="8" customFormat="false" ht="23.85" hidden="false" customHeight="false" outlineLevel="0" collapsed="false">
      <c r="A8" s="17" t="s">
        <v>2651</v>
      </c>
      <c r="B8" s="47" t="s">
        <v>2642</v>
      </c>
      <c r="C8" s="17" t="s">
        <v>2652</v>
      </c>
      <c r="D8" s="17" t="s">
        <v>2653</v>
      </c>
    </row>
    <row r="9" customFormat="false" ht="23.85" hidden="false" customHeight="false" outlineLevel="0" collapsed="false">
      <c r="A9" s="11" t="s">
        <v>2654</v>
      </c>
      <c r="B9" s="48" t="s">
        <v>2655</v>
      </c>
      <c r="C9" s="11" t="s">
        <v>2656</v>
      </c>
      <c r="D9" s="11" t="s">
        <v>2657</v>
      </c>
    </row>
    <row r="10" customFormat="false" ht="23.85" hidden="false" customHeight="false" outlineLevel="0" collapsed="false">
      <c r="A10" s="17" t="s">
        <v>2658</v>
      </c>
      <c r="B10" s="47" t="s">
        <v>2642</v>
      </c>
      <c r="C10" s="17" t="s">
        <v>2659</v>
      </c>
      <c r="D10" s="17" t="s">
        <v>2660</v>
      </c>
    </row>
    <row r="11" customFormat="false" ht="23.85" hidden="false" customHeight="false" outlineLevel="0" collapsed="false">
      <c r="A11" s="11" t="s">
        <v>2661</v>
      </c>
      <c r="B11" s="47" t="s">
        <v>2642</v>
      </c>
      <c r="C11" s="11" t="s">
        <v>2662</v>
      </c>
      <c r="D11" s="11" t="s">
        <v>2663</v>
      </c>
    </row>
    <row r="12" customFormat="false" ht="23.85" hidden="false" customHeight="false" outlineLevel="0" collapsed="false">
      <c r="A12" s="17" t="s">
        <v>2664</v>
      </c>
      <c r="B12" s="48" t="s">
        <v>2655</v>
      </c>
      <c r="C12" s="17" t="s">
        <v>2665</v>
      </c>
      <c r="D12" s="17" t="s">
        <v>2666</v>
      </c>
    </row>
    <row r="13" customFormat="false" ht="23.85" hidden="false" customHeight="false" outlineLevel="0" collapsed="false">
      <c r="A13" s="11" t="s">
        <v>2667</v>
      </c>
      <c r="B13" s="48" t="s">
        <v>2655</v>
      </c>
      <c r="C13" s="11" t="s">
        <v>2668</v>
      </c>
      <c r="D13" s="11" t="s">
        <v>2669</v>
      </c>
    </row>
    <row r="14" customFormat="false" ht="35.05" hidden="false" customHeight="false" outlineLevel="0" collapsed="false">
      <c r="A14" s="17" t="s">
        <v>2670</v>
      </c>
      <c r="B14" s="48" t="s">
        <v>2655</v>
      </c>
      <c r="C14" s="17" t="s">
        <v>2671</v>
      </c>
      <c r="D14" s="17" t="s">
        <v>2672</v>
      </c>
    </row>
    <row r="15" customFormat="false" ht="23.85" hidden="false" customHeight="false" outlineLevel="0" collapsed="false">
      <c r="A15" s="11" t="s">
        <v>2673</v>
      </c>
      <c r="B15" s="47" t="s">
        <v>2642</v>
      </c>
      <c r="C15" s="11" t="s">
        <v>2674</v>
      </c>
      <c r="D15" s="11" t="s">
        <v>2675</v>
      </c>
    </row>
    <row r="16" customFormat="false" ht="23.85" hidden="false" customHeight="false" outlineLevel="0" collapsed="false">
      <c r="A16" s="17" t="s">
        <v>2676</v>
      </c>
      <c r="B16" s="47" t="s">
        <v>2642</v>
      </c>
      <c r="C16" s="17" t="s">
        <v>2677</v>
      </c>
      <c r="D16" s="17" t="s">
        <v>2678</v>
      </c>
    </row>
    <row r="17" customFormat="false" ht="23.85" hidden="false" customHeight="false" outlineLevel="0" collapsed="false">
      <c r="A17" s="11" t="s">
        <v>2679</v>
      </c>
      <c r="B17" s="49" t="s">
        <v>2680</v>
      </c>
      <c r="C17" s="11" t="s">
        <v>2681</v>
      </c>
      <c r="D17" s="11" t="s">
        <v>2682</v>
      </c>
    </row>
    <row r="18" customFormat="false" ht="15" hidden="false" customHeight="false" outlineLevel="0" collapsed="false">
      <c r="A18" s="17" t="s">
        <v>2683</v>
      </c>
      <c r="B18" s="49" t="s">
        <v>2684</v>
      </c>
      <c r="C18" s="17" t="s">
        <v>2685</v>
      </c>
      <c r="D18" s="17" t="s">
        <v>2686</v>
      </c>
    </row>
    <row r="19" customFormat="false" ht="23.85" hidden="false" customHeight="false" outlineLevel="0" collapsed="false">
      <c r="A19" s="11" t="s">
        <v>2687</v>
      </c>
      <c r="B19" s="48" t="s">
        <v>2688</v>
      </c>
      <c r="C19" s="11" t="s">
        <v>2689</v>
      </c>
      <c r="D19" s="11" t="s">
        <v>2690</v>
      </c>
    </row>
    <row r="20" customFormat="false" ht="23.85" hidden="false" customHeight="false" outlineLevel="0" collapsed="false">
      <c r="A20" s="17" t="s">
        <v>2691</v>
      </c>
      <c r="B20" s="48" t="s">
        <v>2688</v>
      </c>
      <c r="C20" s="17" t="s">
        <v>2692</v>
      </c>
      <c r="D20" s="17" t="s">
        <v>2693</v>
      </c>
    </row>
    <row r="21" customFormat="false" ht="35.05" hidden="false" customHeight="false" outlineLevel="0" collapsed="false">
      <c r="A21" s="11" t="s">
        <v>2694</v>
      </c>
      <c r="B21" s="48" t="s">
        <v>2655</v>
      </c>
      <c r="C21" s="11" t="s">
        <v>2695</v>
      </c>
      <c r="D21" s="11" t="s">
        <v>2696</v>
      </c>
    </row>
    <row r="22" customFormat="false" ht="23.85" hidden="false" customHeight="false" outlineLevel="0" collapsed="false">
      <c r="A22" s="17" t="s">
        <v>2697</v>
      </c>
      <c r="B22" s="48" t="s">
        <v>2698</v>
      </c>
      <c r="C22" s="17" t="s">
        <v>2699</v>
      </c>
      <c r="D22" s="17" t="s">
        <v>2700</v>
      </c>
    </row>
    <row r="23" customFormat="false" ht="23.85" hidden="false" customHeight="false" outlineLevel="0" collapsed="false">
      <c r="A23" s="11" t="s">
        <v>2701</v>
      </c>
      <c r="B23" s="48" t="s">
        <v>2655</v>
      </c>
      <c r="C23" s="11" t="s">
        <v>2702</v>
      </c>
      <c r="D23" s="11" t="s">
        <v>2703</v>
      </c>
    </row>
    <row r="24" customFormat="false" ht="23.85" hidden="false" customHeight="false" outlineLevel="0" collapsed="false">
      <c r="A24" s="17" t="s">
        <v>2704</v>
      </c>
      <c r="B24" s="48" t="s">
        <v>2698</v>
      </c>
      <c r="C24" s="17" t="s">
        <v>2705</v>
      </c>
      <c r="D24" s="17" t="s">
        <v>2706</v>
      </c>
    </row>
    <row r="25" customFormat="false" ht="23.85" hidden="false" customHeight="false" outlineLevel="0" collapsed="false">
      <c r="A25" s="11" t="s">
        <v>1163</v>
      </c>
      <c r="B25" s="47" t="s">
        <v>2642</v>
      </c>
      <c r="C25" s="11" t="s">
        <v>2707</v>
      </c>
      <c r="D25" s="11" t="s">
        <v>2708</v>
      </c>
    </row>
    <row r="26" customFormat="false" ht="23.85" hidden="false" customHeight="false" outlineLevel="0" collapsed="false">
      <c r="A26" s="17" t="s">
        <v>2709</v>
      </c>
      <c r="B26" s="47" t="s">
        <v>2642</v>
      </c>
      <c r="C26" s="17" t="s">
        <v>2710</v>
      </c>
      <c r="D26" s="17" t="s">
        <v>2711</v>
      </c>
    </row>
    <row r="27" customFormat="false" ht="23.85" hidden="false" customHeight="false" outlineLevel="0" collapsed="false">
      <c r="A27" s="11" t="s">
        <v>2712</v>
      </c>
      <c r="B27" s="47" t="s">
        <v>2642</v>
      </c>
      <c r="C27" s="11" t="s">
        <v>2713</v>
      </c>
      <c r="D27" s="11" t="s">
        <v>2714</v>
      </c>
    </row>
    <row r="28" customFormat="false" ht="23.85" hidden="false" customHeight="false" outlineLevel="0" collapsed="false">
      <c r="A28" s="17" t="s">
        <v>2715</v>
      </c>
      <c r="B28" s="48" t="s">
        <v>2698</v>
      </c>
      <c r="C28" s="17" t="s">
        <v>2716</v>
      </c>
      <c r="D28" s="17" t="s">
        <v>2717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2026-08-13T14:04:19Z</dcterms:created>
  <dc:creator>openpyxl</dc:creator>
  <dc:description/>
  <dc:language>en-US</dc:language>
  <cp:lastModifiedBy/>
  <dcterms:modified xsi:type="dcterms:W3CDTF">2026-08-13T14:04:20Z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