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Not started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Not started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Not started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Not started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Not started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Not started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Not started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Not started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Not started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Not started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Not started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Not started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Not started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Not started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IF(M350&lt;=4,"R1 Foundation",IF(M350&lt;=8,"R2 Core Clinic",IF(M350&lt;=13,"R3 Revenue &amp; Messaging",IF(M350&lt;=18,"R4 Patient &amp; Platform",IF(M350&lt;=20,"R5 Harden","R6 Launch")))))</f>
        <v/>
      </c>
      <c r="O350" s="67">
        <f>L350*README!$B$32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/>
    <row r="352" ht="15" customHeight="1" s="51">
      <c r="A352" s="54" t="inlineStr">
        <is>
          <t>TOTAL</t>
        </is>
      </c>
      <c r="D352" s="54">
        <f>COUNTA(A2:A350)&amp;" tasks"</f>
        <v/>
      </c>
      <c r="L352" s="54">
        <f>SUM(L2:L350)</f>
        <v/>
      </c>
      <c r="O352" s="71">
        <f>SUM(O2:O350)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0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0" showDropDown="0" showInputMessage="0" showErrorMessage="0" allowBlank="1" type="list" errorStyle="stop" operator="between">
      <formula1>"Must,Should,Could"</formula1>
      <formula2>0</formula2>
    </dataValidation>
    <dataValidation sqref="K2:K350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COUNTIF(Backlog!$B$2:$B$350,$A4)</f>
        <v/>
      </c>
      <c r="C4" s="66">
        <f>SUMIF(Backlog!$B$2:$B$350,$A4,Backlog!$L$2:$L$350)</f>
        <v/>
      </c>
      <c r="D4" s="74">
        <f>IFERROR(C4/$C$33,0)</f>
        <v/>
      </c>
      <c r="E4" s="67">
        <f>C4*README!$B$32</f>
        <v/>
      </c>
      <c r="F4" s="66">
        <f>COUNTIFS(Backlog!$B$2:$B$350,$A4,Backlog!$J$2:$J$350,"Must")</f>
        <v/>
      </c>
      <c r="G4" s="66">
        <f>COUNTIFS(Backlog!$B$2:$B$350,$A4,Backlog!$J$2:$J$350,"Should")</f>
        <v/>
      </c>
      <c r="H4" s="66">
        <f>COUNTIFS(Backlog!$B$2:$B$350,$A4,Backlog!$J$2:$J$350,"Could")</f>
        <v/>
      </c>
      <c r="I4" s="66">
        <f>COUNTIFS(Backlog!$B$2:$B$350,$A4,Backlog!$K$2:$K$350,"MVP")</f>
        <v/>
      </c>
      <c r="J4" s="66">
        <f>COUNTIFS(Backlog!$B$2:$B$350,$A4,Backlog!$K$2:$K$350,"Phase 2")</f>
        <v/>
      </c>
      <c r="K4" s="66">
        <f>COUNTIFS(Backlog!$B$2:$B$350,$A4,Backlog!$K$2:$K$350,"Phase 3")</f>
        <v/>
      </c>
      <c r="L4" s="66">
        <f>_xlfn.MINIFS(Backlog!$M$2:$M$350,Backlog!$B$2:$B$350,$A4)</f>
        <v/>
      </c>
      <c r="M4" s="66">
        <f>_xlfn.MAXIFS(Backlog!$M$2:$M$350,Backlog!$B$2:$B$350,$A4)</f>
        <v/>
      </c>
      <c r="N4" s="66">
        <f>COUNTIFS(Backlog!$B$2:$B$350,$A4,Backlog!$R$2:$R$350,"Done")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COUNTIF(Backlog!$B$2:$B$350,$A5)</f>
        <v/>
      </c>
      <c r="C5" s="66">
        <f>SUMIF(Backlog!$B$2:$B$350,$A5,Backlog!$L$2:$L$350)</f>
        <v/>
      </c>
      <c r="D5" s="74">
        <f>IFERROR(C5/$C$33,0)</f>
        <v/>
      </c>
      <c r="E5" s="67">
        <f>C5*README!$B$32</f>
        <v/>
      </c>
      <c r="F5" s="66">
        <f>COUNTIFS(Backlog!$B$2:$B$350,$A5,Backlog!$J$2:$J$350,"Must")</f>
        <v/>
      </c>
      <c r="G5" s="66">
        <f>COUNTIFS(Backlog!$B$2:$B$350,$A5,Backlog!$J$2:$J$350,"Should")</f>
        <v/>
      </c>
      <c r="H5" s="66">
        <f>COUNTIFS(Backlog!$B$2:$B$350,$A5,Backlog!$J$2:$J$350,"Could")</f>
        <v/>
      </c>
      <c r="I5" s="66">
        <f>COUNTIFS(Backlog!$B$2:$B$350,$A5,Backlog!$K$2:$K$350,"MVP")</f>
        <v/>
      </c>
      <c r="J5" s="66">
        <f>COUNTIFS(Backlog!$B$2:$B$350,$A5,Backlog!$K$2:$K$350,"Phase 2")</f>
        <v/>
      </c>
      <c r="K5" s="66">
        <f>COUNTIFS(Backlog!$B$2:$B$350,$A5,Backlog!$K$2:$K$350,"Phase 3")</f>
        <v/>
      </c>
      <c r="L5" s="66">
        <f>_xlfn.MINIFS(Backlog!$M$2:$M$350,Backlog!$B$2:$B$350,$A5)</f>
        <v/>
      </c>
      <c r="M5" s="66">
        <f>_xlfn.MAXIFS(Backlog!$M$2:$M$350,Backlog!$B$2:$B$350,$A5)</f>
        <v/>
      </c>
      <c r="N5" s="66">
        <f>COUNTIFS(Backlog!$B$2:$B$350,$A5,Backlog!$R$2:$R$350,"Done")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COUNTIF(Backlog!$B$2:$B$350,$A6)</f>
        <v/>
      </c>
      <c r="C6" s="66">
        <f>SUMIF(Backlog!$B$2:$B$350,$A6,Backlog!$L$2:$L$350)</f>
        <v/>
      </c>
      <c r="D6" s="74">
        <f>IFERROR(C6/$C$33,0)</f>
        <v/>
      </c>
      <c r="E6" s="67">
        <f>C6*README!$B$32</f>
        <v/>
      </c>
      <c r="F6" s="66">
        <f>COUNTIFS(Backlog!$B$2:$B$350,$A6,Backlog!$J$2:$J$350,"Must")</f>
        <v/>
      </c>
      <c r="G6" s="66">
        <f>COUNTIFS(Backlog!$B$2:$B$350,$A6,Backlog!$J$2:$J$350,"Should")</f>
        <v/>
      </c>
      <c r="H6" s="66">
        <f>COUNTIFS(Backlog!$B$2:$B$350,$A6,Backlog!$J$2:$J$350,"Could")</f>
        <v/>
      </c>
      <c r="I6" s="66">
        <f>COUNTIFS(Backlog!$B$2:$B$350,$A6,Backlog!$K$2:$K$350,"MVP")</f>
        <v/>
      </c>
      <c r="J6" s="66">
        <f>COUNTIFS(Backlog!$B$2:$B$350,$A6,Backlog!$K$2:$K$350,"Phase 2")</f>
        <v/>
      </c>
      <c r="K6" s="66">
        <f>COUNTIFS(Backlog!$B$2:$B$350,$A6,Backlog!$K$2:$K$350,"Phase 3")</f>
        <v/>
      </c>
      <c r="L6" s="66">
        <f>_xlfn.MINIFS(Backlog!$M$2:$M$350,Backlog!$B$2:$B$350,$A6)</f>
        <v/>
      </c>
      <c r="M6" s="66">
        <f>_xlfn.MAXIFS(Backlog!$M$2:$M$350,Backlog!$B$2:$B$350,$A6)</f>
        <v/>
      </c>
      <c r="N6" s="66">
        <f>COUNTIFS(Backlog!$B$2:$B$350,$A6,Backlog!$R$2:$R$350,"Done")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COUNTIF(Backlog!$B$2:$B$350,$A7)</f>
        <v/>
      </c>
      <c r="C7" s="66">
        <f>SUMIF(Backlog!$B$2:$B$350,$A7,Backlog!$L$2:$L$350)</f>
        <v/>
      </c>
      <c r="D7" s="74">
        <f>IFERROR(C7/$C$33,0)</f>
        <v/>
      </c>
      <c r="E7" s="67">
        <f>C7*README!$B$32</f>
        <v/>
      </c>
      <c r="F7" s="66">
        <f>COUNTIFS(Backlog!$B$2:$B$350,$A7,Backlog!$J$2:$J$350,"Must")</f>
        <v/>
      </c>
      <c r="G7" s="66">
        <f>COUNTIFS(Backlog!$B$2:$B$350,$A7,Backlog!$J$2:$J$350,"Should")</f>
        <v/>
      </c>
      <c r="H7" s="66">
        <f>COUNTIFS(Backlog!$B$2:$B$350,$A7,Backlog!$J$2:$J$350,"Could")</f>
        <v/>
      </c>
      <c r="I7" s="66">
        <f>COUNTIFS(Backlog!$B$2:$B$350,$A7,Backlog!$K$2:$K$350,"MVP")</f>
        <v/>
      </c>
      <c r="J7" s="66">
        <f>COUNTIFS(Backlog!$B$2:$B$350,$A7,Backlog!$K$2:$K$350,"Phase 2")</f>
        <v/>
      </c>
      <c r="K7" s="66">
        <f>COUNTIFS(Backlog!$B$2:$B$350,$A7,Backlog!$K$2:$K$350,"Phase 3")</f>
        <v/>
      </c>
      <c r="L7" s="66">
        <f>_xlfn.MINIFS(Backlog!$M$2:$M$350,Backlog!$B$2:$B$350,$A7)</f>
        <v/>
      </c>
      <c r="M7" s="66">
        <f>_xlfn.MAXIFS(Backlog!$M$2:$M$350,Backlog!$B$2:$B$350,$A7)</f>
        <v/>
      </c>
      <c r="N7" s="66">
        <f>COUNTIFS(Backlog!$B$2:$B$350,$A7,Backlog!$R$2:$R$350,"Done")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COUNTIF(Backlog!$B$2:$B$350,$A8)</f>
        <v/>
      </c>
      <c r="C8" s="66">
        <f>SUMIF(Backlog!$B$2:$B$350,$A8,Backlog!$L$2:$L$350)</f>
        <v/>
      </c>
      <c r="D8" s="74">
        <f>IFERROR(C8/$C$33,0)</f>
        <v/>
      </c>
      <c r="E8" s="67">
        <f>C8*README!$B$32</f>
        <v/>
      </c>
      <c r="F8" s="66">
        <f>COUNTIFS(Backlog!$B$2:$B$350,$A8,Backlog!$J$2:$J$350,"Must")</f>
        <v/>
      </c>
      <c r="G8" s="66">
        <f>COUNTIFS(Backlog!$B$2:$B$350,$A8,Backlog!$J$2:$J$350,"Should")</f>
        <v/>
      </c>
      <c r="H8" s="66">
        <f>COUNTIFS(Backlog!$B$2:$B$350,$A8,Backlog!$J$2:$J$350,"Could")</f>
        <v/>
      </c>
      <c r="I8" s="66">
        <f>COUNTIFS(Backlog!$B$2:$B$350,$A8,Backlog!$K$2:$K$350,"MVP")</f>
        <v/>
      </c>
      <c r="J8" s="66">
        <f>COUNTIFS(Backlog!$B$2:$B$350,$A8,Backlog!$K$2:$K$350,"Phase 2")</f>
        <v/>
      </c>
      <c r="K8" s="66">
        <f>COUNTIFS(Backlog!$B$2:$B$350,$A8,Backlog!$K$2:$K$350,"Phase 3")</f>
        <v/>
      </c>
      <c r="L8" s="66">
        <f>_xlfn.MINIFS(Backlog!$M$2:$M$350,Backlog!$B$2:$B$350,$A8)</f>
        <v/>
      </c>
      <c r="M8" s="66">
        <f>_xlfn.MAXIFS(Backlog!$M$2:$M$350,Backlog!$B$2:$B$350,$A8)</f>
        <v/>
      </c>
      <c r="N8" s="66">
        <f>COUNTIFS(Backlog!$B$2:$B$350,$A8,Backlog!$R$2:$R$350,"Done")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COUNTIF(Backlog!$B$2:$B$350,$A9)</f>
        <v/>
      </c>
      <c r="C9" s="66">
        <f>SUMIF(Backlog!$B$2:$B$350,$A9,Backlog!$L$2:$L$350)</f>
        <v/>
      </c>
      <c r="D9" s="74">
        <f>IFERROR(C9/$C$33,0)</f>
        <v/>
      </c>
      <c r="E9" s="67">
        <f>C9*README!$B$32</f>
        <v/>
      </c>
      <c r="F9" s="66">
        <f>COUNTIFS(Backlog!$B$2:$B$350,$A9,Backlog!$J$2:$J$350,"Must")</f>
        <v/>
      </c>
      <c r="G9" s="66">
        <f>COUNTIFS(Backlog!$B$2:$B$350,$A9,Backlog!$J$2:$J$350,"Should")</f>
        <v/>
      </c>
      <c r="H9" s="66">
        <f>COUNTIFS(Backlog!$B$2:$B$350,$A9,Backlog!$J$2:$J$350,"Could")</f>
        <v/>
      </c>
      <c r="I9" s="66">
        <f>COUNTIFS(Backlog!$B$2:$B$350,$A9,Backlog!$K$2:$K$350,"MVP")</f>
        <v/>
      </c>
      <c r="J9" s="66">
        <f>COUNTIFS(Backlog!$B$2:$B$350,$A9,Backlog!$K$2:$K$350,"Phase 2")</f>
        <v/>
      </c>
      <c r="K9" s="66">
        <f>COUNTIFS(Backlog!$B$2:$B$350,$A9,Backlog!$K$2:$K$350,"Phase 3")</f>
        <v/>
      </c>
      <c r="L9" s="66">
        <f>_xlfn.MINIFS(Backlog!$M$2:$M$350,Backlog!$B$2:$B$350,$A9)</f>
        <v/>
      </c>
      <c r="M9" s="66">
        <f>_xlfn.MAXIFS(Backlog!$M$2:$M$350,Backlog!$B$2:$B$350,$A9)</f>
        <v/>
      </c>
      <c r="N9" s="66">
        <f>COUNTIFS(Backlog!$B$2:$B$350,$A9,Backlog!$R$2:$R$350,"Done")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COUNTIF(Backlog!$B$2:$B$350,$A10)</f>
        <v/>
      </c>
      <c r="C10" s="66">
        <f>SUMIF(Backlog!$B$2:$B$350,$A10,Backlog!$L$2:$L$350)</f>
        <v/>
      </c>
      <c r="D10" s="74">
        <f>IFERROR(C10/$C$33,0)</f>
        <v/>
      </c>
      <c r="E10" s="67">
        <f>C10*README!$B$32</f>
        <v/>
      </c>
      <c r="F10" s="66">
        <f>COUNTIFS(Backlog!$B$2:$B$350,$A10,Backlog!$J$2:$J$350,"Must")</f>
        <v/>
      </c>
      <c r="G10" s="66">
        <f>COUNTIFS(Backlog!$B$2:$B$350,$A10,Backlog!$J$2:$J$350,"Should")</f>
        <v/>
      </c>
      <c r="H10" s="66">
        <f>COUNTIFS(Backlog!$B$2:$B$350,$A10,Backlog!$J$2:$J$350,"Could")</f>
        <v/>
      </c>
      <c r="I10" s="66">
        <f>COUNTIFS(Backlog!$B$2:$B$350,$A10,Backlog!$K$2:$K$350,"MVP")</f>
        <v/>
      </c>
      <c r="J10" s="66">
        <f>COUNTIFS(Backlog!$B$2:$B$350,$A10,Backlog!$K$2:$K$350,"Phase 2")</f>
        <v/>
      </c>
      <c r="K10" s="66">
        <f>COUNTIFS(Backlog!$B$2:$B$350,$A10,Backlog!$K$2:$K$350,"Phase 3")</f>
        <v/>
      </c>
      <c r="L10" s="66">
        <f>_xlfn.MINIFS(Backlog!$M$2:$M$350,Backlog!$B$2:$B$350,$A10)</f>
        <v/>
      </c>
      <c r="M10" s="66">
        <f>_xlfn.MAXIFS(Backlog!$M$2:$M$350,Backlog!$B$2:$B$350,$A10)</f>
        <v/>
      </c>
      <c r="N10" s="66">
        <f>COUNTIFS(Backlog!$B$2:$B$350,$A10,Backlog!$R$2:$R$350,"Done")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COUNTIF(Backlog!$B$2:$B$350,$A11)</f>
        <v/>
      </c>
      <c r="C11" s="66">
        <f>SUMIF(Backlog!$B$2:$B$350,$A11,Backlog!$L$2:$L$350)</f>
        <v/>
      </c>
      <c r="D11" s="74">
        <f>IFERROR(C11/$C$33,0)</f>
        <v/>
      </c>
      <c r="E11" s="67">
        <f>C11*README!$B$32</f>
        <v/>
      </c>
      <c r="F11" s="66">
        <f>COUNTIFS(Backlog!$B$2:$B$350,$A11,Backlog!$J$2:$J$350,"Must")</f>
        <v/>
      </c>
      <c r="G11" s="66">
        <f>COUNTIFS(Backlog!$B$2:$B$350,$A11,Backlog!$J$2:$J$350,"Should")</f>
        <v/>
      </c>
      <c r="H11" s="66">
        <f>COUNTIFS(Backlog!$B$2:$B$350,$A11,Backlog!$J$2:$J$350,"Could")</f>
        <v/>
      </c>
      <c r="I11" s="66">
        <f>COUNTIFS(Backlog!$B$2:$B$350,$A11,Backlog!$K$2:$K$350,"MVP")</f>
        <v/>
      </c>
      <c r="J11" s="66">
        <f>COUNTIFS(Backlog!$B$2:$B$350,$A11,Backlog!$K$2:$K$350,"Phase 2")</f>
        <v/>
      </c>
      <c r="K11" s="66">
        <f>COUNTIFS(Backlog!$B$2:$B$350,$A11,Backlog!$K$2:$K$350,"Phase 3")</f>
        <v/>
      </c>
      <c r="L11" s="66">
        <f>_xlfn.MINIFS(Backlog!$M$2:$M$350,Backlog!$B$2:$B$350,$A11)</f>
        <v/>
      </c>
      <c r="M11" s="66">
        <f>_xlfn.MAXIFS(Backlog!$M$2:$M$350,Backlog!$B$2:$B$350,$A11)</f>
        <v/>
      </c>
      <c r="N11" s="66">
        <f>COUNTIFS(Backlog!$B$2:$B$350,$A11,Backlog!$R$2:$R$350,"Done")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COUNTIF(Backlog!$B$2:$B$350,$A12)</f>
        <v/>
      </c>
      <c r="C12" s="66">
        <f>SUMIF(Backlog!$B$2:$B$350,$A12,Backlog!$L$2:$L$350)</f>
        <v/>
      </c>
      <c r="D12" s="74">
        <f>IFERROR(C12/$C$33,0)</f>
        <v/>
      </c>
      <c r="E12" s="67">
        <f>C12*README!$B$32</f>
        <v/>
      </c>
      <c r="F12" s="66">
        <f>COUNTIFS(Backlog!$B$2:$B$350,$A12,Backlog!$J$2:$J$350,"Must")</f>
        <v/>
      </c>
      <c r="G12" s="66">
        <f>COUNTIFS(Backlog!$B$2:$B$350,$A12,Backlog!$J$2:$J$350,"Should")</f>
        <v/>
      </c>
      <c r="H12" s="66">
        <f>COUNTIFS(Backlog!$B$2:$B$350,$A12,Backlog!$J$2:$J$350,"Could")</f>
        <v/>
      </c>
      <c r="I12" s="66">
        <f>COUNTIFS(Backlog!$B$2:$B$350,$A12,Backlog!$K$2:$K$350,"MVP")</f>
        <v/>
      </c>
      <c r="J12" s="66">
        <f>COUNTIFS(Backlog!$B$2:$B$350,$A12,Backlog!$K$2:$K$350,"Phase 2")</f>
        <v/>
      </c>
      <c r="K12" s="66">
        <f>COUNTIFS(Backlog!$B$2:$B$350,$A12,Backlog!$K$2:$K$350,"Phase 3")</f>
        <v/>
      </c>
      <c r="L12" s="66">
        <f>_xlfn.MINIFS(Backlog!$M$2:$M$350,Backlog!$B$2:$B$350,$A12)</f>
        <v/>
      </c>
      <c r="M12" s="66">
        <f>_xlfn.MAXIFS(Backlog!$M$2:$M$350,Backlog!$B$2:$B$350,$A12)</f>
        <v/>
      </c>
      <c r="N12" s="66">
        <f>COUNTIFS(Backlog!$B$2:$B$350,$A12,Backlog!$R$2:$R$350,"Done")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COUNTIF(Backlog!$B$2:$B$350,$A13)</f>
        <v/>
      </c>
      <c r="C13" s="66">
        <f>SUMIF(Backlog!$B$2:$B$350,$A13,Backlog!$L$2:$L$350)</f>
        <v/>
      </c>
      <c r="D13" s="74">
        <f>IFERROR(C13/$C$33,0)</f>
        <v/>
      </c>
      <c r="E13" s="67">
        <f>C13*README!$B$32</f>
        <v/>
      </c>
      <c r="F13" s="66">
        <f>COUNTIFS(Backlog!$B$2:$B$350,$A13,Backlog!$J$2:$J$350,"Must")</f>
        <v/>
      </c>
      <c r="G13" s="66">
        <f>COUNTIFS(Backlog!$B$2:$B$350,$A13,Backlog!$J$2:$J$350,"Should")</f>
        <v/>
      </c>
      <c r="H13" s="66">
        <f>COUNTIFS(Backlog!$B$2:$B$350,$A13,Backlog!$J$2:$J$350,"Could")</f>
        <v/>
      </c>
      <c r="I13" s="66">
        <f>COUNTIFS(Backlog!$B$2:$B$350,$A13,Backlog!$K$2:$K$350,"MVP")</f>
        <v/>
      </c>
      <c r="J13" s="66">
        <f>COUNTIFS(Backlog!$B$2:$B$350,$A13,Backlog!$K$2:$K$350,"Phase 2")</f>
        <v/>
      </c>
      <c r="K13" s="66">
        <f>COUNTIFS(Backlog!$B$2:$B$350,$A13,Backlog!$K$2:$K$350,"Phase 3")</f>
        <v/>
      </c>
      <c r="L13" s="66">
        <f>_xlfn.MINIFS(Backlog!$M$2:$M$350,Backlog!$B$2:$B$350,$A13)</f>
        <v/>
      </c>
      <c r="M13" s="66">
        <f>_xlfn.MAXIFS(Backlog!$M$2:$M$350,Backlog!$B$2:$B$350,$A13)</f>
        <v/>
      </c>
      <c r="N13" s="66">
        <f>COUNTIFS(Backlog!$B$2:$B$350,$A13,Backlog!$R$2:$R$350,"Done")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COUNTIF(Backlog!$B$2:$B$350,$A14)</f>
        <v/>
      </c>
      <c r="C14" s="66">
        <f>SUMIF(Backlog!$B$2:$B$350,$A14,Backlog!$L$2:$L$350)</f>
        <v/>
      </c>
      <c r="D14" s="74">
        <f>IFERROR(C14/$C$33,0)</f>
        <v/>
      </c>
      <c r="E14" s="67">
        <f>C14*README!$B$32</f>
        <v/>
      </c>
      <c r="F14" s="66">
        <f>COUNTIFS(Backlog!$B$2:$B$350,$A14,Backlog!$J$2:$J$350,"Must")</f>
        <v/>
      </c>
      <c r="G14" s="66">
        <f>COUNTIFS(Backlog!$B$2:$B$350,$A14,Backlog!$J$2:$J$350,"Should")</f>
        <v/>
      </c>
      <c r="H14" s="66">
        <f>COUNTIFS(Backlog!$B$2:$B$350,$A14,Backlog!$J$2:$J$350,"Could")</f>
        <v/>
      </c>
      <c r="I14" s="66">
        <f>COUNTIFS(Backlog!$B$2:$B$350,$A14,Backlog!$K$2:$K$350,"MVP")</f>
        <v/>
      </c>
      <c r="J14" s="66">
        <f>COUNTIFS(Backlog!$B$2:$B$350,$A14,Backlog!$K$2:$K$350,"Phase 2")</f>
        <v/>
      </c>
      <c r="K14" s="66">
        <f>COUNTIFS(Backlog!$B$2:$B$350,$A14,Backlog!$K$2:$K$350,"Phase 3")</f>
        <v/>
      </c>
      <c r="L14" s="66">
        <f>_xlfn.MINIFS(Backlog!$M$2:$M$350,Backlog!$B$2:$B$350,$A14)</f>
        <v/>
      </c>
      <c r="M14" s="66">
        <f>_xlfn.MAXIFS(Backlog!$M$2:$M$350,Backlog!$B$2:$B$350,$A14)</f>
        <v/>
      </c>
      <c r="N14" s="66">
        <f>COUNTIFS(Backlog!$B$2:$B$350,$A14,Backlog!$R$2:$R$350,"Done")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COUNTIF(Backlog!$B$2:$B$350,$A15)</f>
        <v/>
      </c>
      <c r="C15" s="66">
        <f>SUMIF(Backlog!$B$2:$B$350,$A15,Backlog!$L$2:$L$350)</f>
        <v/>
      </c>
      <c r="D15" s="74">
        <f>IFERROR(C15/$C$33,0)</f>
        <v/>
      </c>
      <c r="E15" s="67">
        <f>C15*README!$B$32</f>
        <v/>
      </c>
      <c r="F15" s="66">
        <f>COUNTIFS(Backlog!$B$2:$B$350,$A15,Backlog!$J$2:$J$350,"Must")</f>
        <v/>
      </c>
      <c r="G15" s="66">
        <f>COUNTIFS(Backlog!$B$2:$B$350,$A15,Backlog!$J$2:$J$350,"Should")</f>
        <v/>
      </c>
      <c r="H15" s="66">
        <f>COUNTIFS(Backlog!$B$2:$B$350,$A15,Backlog!$J$2:$J$350,"Could")</f>
        <v/>
      </c>
      <c r="I15" s="66">
        <f>COUNTIFS(Backlog!$B$2:$B$350,$A15,Backlog!$K$2:$K$350,"MVP")</f>
        <v/>
      </c>
      <c r="J15" s="66">
        <f>COUNTIFS(Backlog!$B$2:$B$350,$A15,Backlog!$K$2:$K$350,"Phase 2")</f>
        <v/>
      </c>
      <c r="K15" s="66">
        <f>COUNTIFS(Backlog!$B$2:$B$350,$A15,Backlog!$K$2:$K$350,"Phase 3")</f>
        <v/>
      </c>
      <c r="L15" s="66">
        <f>_xlfn.MINIFS(Backlog!$M$2:$M$350,Backlog!$B$2:$B$350,$A15)</f>
        <v/>
      </c>
      <c r="M15" s="66">
        <f>_xlfn.MAXIFS(Backlog!$M$2:$M$350,Backlog!$B$2:$B$350,$A15)</f>
        <v/>
      </c>
      <c r="N15" s="66">
        <f>COUNTIFS(Backlog!$B$2:$B$350,$A15,Backlog!$R$2:$R$350,"Done")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COUNTIF(Backlog!$B$2:$B$350,$A16)</f>
        <v/>
      </c>
      <c r="C16" s="66">
        <f>SUMIF(Backlog!$B$2:$B$350,$A16,Backlog!$L$2:$L$350)</f>
        <v/>
      </c>
      <c r="D16" s="74">
        <f>IFERROR(C16/$C$33,0)</f>
        <v/>
      </c>
      <c r="E16" s="67">
        <f>C16*README!$B$32</f>
        <v/>
      </c>
      <c r="F16" s="66">
        <f>COUNTIFS(Backlog!$B$2:$B$350,$A16,Backlog!$J$2:$J$350,"Must")</f>
        <v/>
      </c>
      <c r="G16" s="66">
        <f>COUNTIFS(Backlog!$B$2:$B$350,$A16,Backlog!$J$2:$J$350,"Should")</f>
        <v/>
      </c>
      <c r="H16" s="66">
        <f>COUNTIFS(Backlog!$B$2:$B$350,$A16,Backlog!$J$2:$J$350,"Could")</f>
        <v/>
      </c>
      <c r="I16" s="66">
        <f>COUNTIFS(Backlog!$B$2:$B$350,$A16,Backlog!$K$2:$K$350,"MVP")</f>
        <v/>
      </c>
      <c r="J16" s="66">
        <f>COUNTIFS(Backlog!$B$2:$B$350,$A16,Backlog!$K$2:$K$350,"Phase 2")</f>
        <v/>
      </c>
      <c r="K16" s="66">
        <f>COUNTIFS(Backlog!$B$2:$B$350,$A16,Backlog!$K$2:$K$350,"Phase 3")</f>
        <v/>
      </c>
      <c r="L16" s="66">
        <f>_xlfn.MINIFS(Backlog!$M$2:$M$350,Backlog!$B$2:$B$350,$A16)</f>
        <v/>
      </c>
      <c r="M16" s="66">
        <f>_xlfn.MAXIFS(Backlog!$M$2:$M$350,Backlog!$B$2:$B$350,$A16)</f>
        <v/>
      </c>
      <c r="N16" s="66">
        <f>COUNTIFS(Backlog!$B$2:$B$350,$A16,Backlog!$R$2:$R$350,"Done")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COUNTIF(Backlog!$B$2:$B$350,$A17)</f>
        <v/>
      </c>
      <c r="C17" s="66">
        <f>SUMIF(Backlog!$B$2:$B$350,$A17,Backlog!$L$2:$L$350)</f>
        <v/>
      </c>
      <c r="D17" s="74">
        <f>IFERROR(C17/$C$33,0)</f>
        <v/>
      </c>
      <c r="E17" s="67">
        <f>C17*README!$B$32</f>
        <v/>
      </c>
      <c r="F17" s="66">
        <f>COUNTIFS(Backlog!$B$2:$B$350,$A17,Backlog!$J$2:$J$350,"Must")</f>
        <v/>
      </c>
      <c r="G17" s="66">
        <f>COUNTIFS(Backlog!$B$2:$B$350,$A17,Backlog!$J$2:$J$350,"Should")</f>
        <v/>
      </c>
      <c r="H17" s="66">
        <f>COUNTIFS(Backlog!$B$2:$B$350,$A17,Backlog!$J$2:$J$350,"Could")</f>
        <v/>
      </c>
      <c r="I17" s="66">
        <f>COUNTIFS(Backlog!$B$2:$B$350,$A17,Backlog!$K$2:$K$350,"MVP")</f>
        <v/>
      </c>
      <c r="J17" s="66">
        <f>COUNTIFS(Backlog!$B$2:$B$350,$A17,Backlog!$K$2:$K$350,"Phase 2")</f>
        <v/>
      </c>
      <c r="K17" s="66">
        <f>COUNTIFS(Backlog!$B$2:$B$350,$A17,Backlog!$K$2:$K$350,"Phase 3")</f>
        <v/>
      </c>
      <c r="L17" s="66">
        <f>_xlfn.MINIFS(Backlog!$M$2:$M$350,Backlog!$B$2:$B$350,$A17)</f>
        <v/>
      </c>
      <c r="M17" s="66">
        <f>_xlfn.MAXIFS(Backlog!$M$2:$M$350,Backlog!$B$2:$B$350,$A17)</f>
        <v/>
      </c>
      <c r="N17" s="66">
        <f>COUNTIFS(Backlog!$B$2:$B$350,$A17,Backlog!$R$2:$R$350,"Done")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COUNTIF(Backlog!$B$2:$B$350,$A18)</f>
        <v/>
      </c>
      <c r="C18" s="66">
        <f>SUMIF(Backlog!$B$2:$B$350,$A18,Backlog!$L$2:$L$350)</f>
        <v/>
      </c>
      <c r="D18" s="74">
        <f>IFERROR(C18/$C$33,0)</f>
        <v/>
      </c>
      <c r="E18" s="67">
        <f>C18*README!$B$32</f>
        <v/>
      </c>
      <c r="F18" s="66">
        <f>COUNTIFS(Backlog!$B$2:$B$350,$A18,Backlog!$J$2:$J$350,"Must")</f>
        <v/>
      </c>
      <c r="G18" s="66">
        <f>COUNTIFS(Backlog!$B$2:$B$350,$A18,Backlog!$J$2:$J$350,"Should")</f>
        <v/>
      </c>
      <c r="H18" s="66">
        <f>COUNTIFS(Backlog!$B$2:$B$350,$A18,Backlog!$J$2:$J$350,"Could")</f>
        <v/>
      </c>
      <c r="I18" s="66">
        <f>COUNTIFS(Backlog!$B$2:$B$350,$A18,Backlog!$K$2:$K$350,"MVP")</f>
        <v/>
      </c>
      <c r="J18" s="66">
        <f>COUNTIFS(Backlog!$B$2:$B$350,$A18,Backlog!$K$2:$K$350,"Phase 2")</f>
        <v/>
      </c>
      <c r="K18" s="66">
        <f>COUNTIFS(Backlog!$B$2:$B$350,$A18,Backlog!$K$2:$K$350,"Phase 3")</f>
        <v/>
      </c>
      <c r="L18" s="66">
        <f>_xlfn.MINIFS(Backlog!$M$2:$M$350,Backlog!$B$2:$B$350,$A18)</f>
        <v/>
      </c>
      <c r="M18" s="66">
        <f>_xlfn.MAXIFS(Backlog!$M$2:$M$350,Backlog!$B$2:$B$350,$A18)</f>
        <v/>
      </c>
      <c r="N18" s="66">
        <f>COUNTIFS(Backlog!$B$2:$B$350,$A18,Backlog!$R$2:$R$350,"Done")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COUNTIF(Backlog!$B$2:$B$350,$A19)</f>
        <v/>
      </c>
      <c r="C19" s="66">
        <f>SUMIF(Backlog!$B$2:$B$350,$A19,Backlog!$L$2:$L$350)</f>
        <v/>
      </c>
      <c r="D19" s="74">
        <f>IFERROR(C19/$C$33,0)</f>
        <v/>
      </c>
      <c r="E19" s="67">
        <f>C19*README!$B$32</f>
        <v/>
      </c>
      <c r="F19" s="66">
        <f>COUNTIFS(Backlog!$B$2:$B$350,$A19,Backlog!$J$2:$J$350,"Must")</f>
        <v/>
      </c>
      <c r="G19" s="66">
        <f>COUNTIFS(Backlog!$B$2:$B$350,$A19,Backlog!$J$2:$J$350,"Should")</f>
        <v/>
      </c>
      <c r="H19" s="66">
        <f>COUNTIFS(Backlog!$B$2:$B$350,$A19,Backlog!$J$2:$J$350,"Could")</f>
        <v/>
      </c>
      <c r="I19" s="66">
        <f>COUNTIFS(Backlog!$B$2:$B$350,$A19,Backlog!$K$2:$K$350,"MVP")</f>
        <v/>
      </c>
      <c r="J19" s="66">
        <f>COUNTIFS(Backlog!$B$2:$B$350,$A19,Backlog!$K$2:$K$350,"Phase 2")</f>
        <v/>
      </c>
      <c r="K19" s="66">
        <f>COUNTIFS(Backlog!$B$2:$B$350,$A19,Backlog!$K$2:$K$350,"Phase 3")</f>
        <v/>
      </c>
      <c r="L19" s="66">
        <f>_xlfn.MINIFS(Backlog!$M$2:$M$350,Backlog!$B$2:$B$350,$A19)</f>
        <v/>
      </c>
      <c r="M19" s="66">
        <f>_xlfn.MAXIFS(Backlog!$M$2:$M$350,Backlog!$B$2:$B$350,$A19)</f>
        <v/>
      </c>
      <c r="N19" s="66">
        <f>COUNTIFS(Backlog!$B$2:$B$350,$A19,Backlog!$R$2:$R$350,"Done")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COUNTIF(Backlog!$B$2:$B$350,$A20)</f>
        <v/>
      </c>
      <c r="C20" s="66">
        <f>SUMIF(Backlog!$B$2:$B$350,$A20,Backlog!$L$2:$L$350)</f>
        <v/>
      </c>
      <c r="D20" s="74">
        <f>IFERROR(C20/$C$33,0)</f>
        <v/>
      </c>
      <c r="E20" s="67">
        <f>C20*README!$B$32</f>
        <v/>
      </c>
      <c r="F20" s="66">
        <f>COUNTIFS(Backlog!$B$2:$B$350,$A20,Backlog!$J$2:$J$350,"Must")</f>
        <v/>
      </c>
      <c r="G20" s="66">
        <f>COUNTIFS(Backlog!$B$2:$B$350,$A20,Backlog!$J$2:$J$350,"Should")</f>
        <v/>
      </c>
      <c r="H20" s="66">
        <f>COUNTIFS(Backlog!$B$2:$B$350,$A20,Backlog!$J$2:$J$350,"Could")</f>
        <v/>
      </c>
      <c r="I20" s="66">
        <f>COUNTIFS(Backlog!$B$2:$B$350,$A20,Backlog!$K$2:$K$350,"MVP")</f>
        <v/>
      </c>
      <c r="J20" s="66">
        <f>COUNTIFS(Backlog!$B$2:$B$350,$A20,Backlog!$K$2:$K$350,"Phase 2")</f>
        <v/>
      </c>
      <c r="K20" s="66">
        <f>COUNTIFS(Backlog!$B$2:$B$350,$A20,Backlog!$K$2:$K$350,"Phase 3")</f>
        <v/>
      </c>
      <c r="L20" s="66">
        <f>_xlfn.MINIFS(Backlog!$M$2:$M$350,Backlog!$B$2:$B$350,$A20)</f>
        <v/>
      </c>
      <c r="M20" s="66">
        <f>_xlfn.MAXIFS(Backlog!$M$2:$M$350,Backlog!$B$2:$B$350,$A20)</f>
        <v/>
      </c>
      <c r="N20" s="66">
        <f>COUNTIFS(Backlog!$B$2:$B$350,$A20,Backlog!$R$2:$R$350,"Done")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COUNTIF(Backlog!$B$2:$B$350,$A21)</f>
        <v/>
      </c>
      <c r="C21" s="66">
        <f>SUMIF(Backlog!$B$2:$B$350,$A21,Backlog!$L$2:$L$350)</f>
        <v/>
      </c>
      <c r="D21" s="74">
        <f>IFERROR(C21/$C$33,0)</f>
        <v/>
      </c>
      <c r="E21" s="67">
        <f>C21*README!$B$32</f>
        <v/>
      </c>
      <c r="F21" s="66">
        <f>COUNTIFS(Backlog!$B$2:$B$350,$A21,Backlog!$J$2:$J$350,"Must")</f>
        <v/>
      </c>
      <c r="G21" s="66">
        <f>COUNTIFS(Backlog!$B$2:$B$350,$A21,Backlog!$J$2:$J$350,"Should")</f>
        <v/>
      </c>
      <c r="H21" s="66">
        <f>COUNTIFS(Backlog!$B$2:$B$350,$A21,Backlog!$J$2:$J$350,"Could")</f>
        <v/>
      </c>
      <c r="I21" s="66">
        <f>COUNTIFS(Backlog!$B$2:$B$350,$A21,Backlog!$K$2:$K$350,"MVP")</f>
        <v/>
      </c>
      <c r="J21" s="66">
        <f>COUNTIFS(Backlog!$B$2:$B$350,$A21,Backlog!$K$2:$K$350,"Phase 2")</f>
        <v/>
      </c>
      <c r="K21" s="66">
        <f>COUNTIFS(Backlog!$B$2:$B$350,$A21,Backlog!$K$2:$K$350,"Phase 3")</f>
        <v/>
      </c>
      <c r="L21" s="66">
        <f>_xlfn.MINIFS(Backlog!$M$2:$M$350,Backlog!$B$2:$B$350,$A21)</f>
        <v/>
      </c>
      <c r="M21" s="66">
        <f>_xlfn.MAXIFS(Backlog!$M$2:$M$350,Backlog!$B$2:$B$350,$A21)</f>
        <v/>
      </c>
      <c r="N21" s="66">
        <f>COUNTIFS(Backlog!$B$2:$B$350,$A21,Backlog!$R$2:$R$350,"Done")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COUNTIF(Backlog!$B$2:$B$350,$A22)</f>
        <v/>
      </c>
      <c r="C22" s="66">
        <f>SUMIF(Backlog!$B$2:$B$350,$A22,Backlog!$L$2:$L$350)</f>
        <v/>
      </c>
      <c r="D22" s="74">
        <f>IFERROR(C22/$C$33,0)</f>
        <v/>
      </c>
      <c r="E22" s="67">
        <f>C22*README!$B$32</f>
        <v/>
      </c>
      <c r="F22" s="66">
        <f>COUNTIFS(Backlog!$B$2:$B$350,$A22,Backlog!$J$2:$J$350,"Must")</f>
        <v/>
      </c>
      <c r="G22" s="66">
        <f>COUNTIFS(Backlog!$B$2:$B$350,$A22,Backlog!$J$2:$J$350,"Should")</f>
        <v/>
      </c>
      <c r="H22" s="66">
        <f>COUNTIFS(Backlog!$B$2:$B$350,$A22,Backlog!$J$2:$J$350,"Could")</f>
        <v/>
      </c>
      <c r="I22" s="66">
        <f>COUNTIFS(Backlog!$B$2:$B$350,$A22,Backlog!$K$2:$K$350,"MVP")</f>
        <v/>
      </c>
      <c r="J22" s="66">
        <f>COUNTIFS(Backlog!$B$2:$B$350,$A22,Backlog!$K$2:$K$350,"Phase 2")</f>
        <v/>
      </c>
      <c r="K22" s="66">
        <f>COUNTIFS(Backlog!$B$2:$B$350,$A22,Backlog!$K$2:$K$350,"Phase 3")</f>
        <v/>
      </c>
      <c r="L22" s="66">
        <f>_xlfn.MINIFS(Backlog!$M$2:$M$350,Backlog!$B$2:$B$350,$A22)</f>
        <v/>
      </c>
      <c r="M22" s="66">
        <f>_xlfn.MAXIFS(Backlog!$M$2:$M$350,Backlog!$B$2:$B$350,$A22)</f>
        <v/>
      </c>
      <c r="N22" s="66">
        <f>COUNTIFS(Backlog!$B$2:$B$350,$A22,Backlog!$R$2:$R$350,"Done")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COUNTIF(Backlog!$B$2:$B$350,$A23)</f>
        <v/>
      </c>
      <c r="C23" s="66">
        <f>SUMIF(Backlog!$B$2:$B$350,$A23,Backlog!$L$2:$L$350)</f>
        <v/>
      </c>
      <c r="D23" s="74">
        <f>IFERROR(C23/$C$33,0)</f>
        <v/>
      </c>
      <c r="E23" s="67">
        <f>C23*README!$B$32</f>
        <v/>
      </c>
      <c r="F23" s="66">
        <f>COUNTIFS(Backlog!$B$2:$B$350,$A23,Backlog!$J$2:$J$350,"Must")</f>
        <v/>
      </c>
      <c r="G23" s="66">
        <f>COUNTIFS(Backlog!$B$2:$B$350,$A23,Backlog!$J$2:$J$350,"Should")</f>
        <v/>
      </c>
      <c r="H23" s="66">
        <f>COUNTIFS(Backlog!$B$2:$B$350,$A23,Backlog!$J$2:$J$350,"Could")</f>
        <v/>
      </c>
      <c r="I23" s="66">
        <f>COUNTIFS(Backlog!$B$2:$B$350,$A23,Backlog!$K$2:$K$350,"MVP")</f>
        <v/>
      </c>
      <c r="J23" s="66">
        <f>COUNTIFS(Backlog!$B$2:$B$350,$A23,Backlog!$K$2:$K$350,"Phase 2")</f>
        <v/>
      </c>
      <c r="K23" s="66">
        <f>COUNTIFS(Backlog!$B$2:$B$350,$A23,Backlog!$K$2:$K$350,"Phase 3")</f>
        <v/>
      </c>
      <c r="L23" s="66">
        <f>_xlfn.MINIFS(Backlog!$M$2:$M$350,Backlog!$B$2:$B$350,$A23)</f>
        <v/>
      </c>
      <c r="M23" s="66">
        <f>_xlfn.MAXIFS(Backlog!$M$2:$M$350,Backlog!$B$2:$B$350,$A23)</f>
        <v/>
      </c>
      <c r="N23" s="66">
        <f>COUNTIFS(Backlog!$B$2:$B$350,$A23,Backlog!$R$2:$R$350,"Done")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COUNTIF(Backlog!$B$2:$B$350,$A24)</f>
        <v/>
      </c>
      <c r="C24" s="66">
        <f>SUMIF(Backlog!$B$2:$B$350,$A24,Backlog!$L$2:$L$350)</f>
        <v/>
      </c>
      <c r="D24" s="74">
        <f>IFERROR(C24/$C$33,0)</f>
        <v/>
      </c>
      <c r="E24" s="67">
        <f>C24*README!$B$32</f>
        <v/>
      </c>
      <c r="F24" s="66">
        <f>COUNTIFS(Backlog!$B$2:$B$350,$A24,Backlog!$J$2:$J$350,"Must")</f>
        <v/>
      </c>
      <c r="G24" s="66">
        <f>COUNTIFS(Backlog!$B$2:$B$350,$A24,Backlog!$J$2:$J$350,"Should")</f>
        <v/>
      </c>
      <c r="H24" s="66">
        <f>COUNTIFS(Backlog!$B$2:$B$350,$A24,Backlog!$J$2:$J$350,"Could")</f>
        <v/>
      </c>
      <c r="I24" s="66">
        <f>COUNTIFS(Backlog!$B$2:$B$350,$A24,Backlog!$K$2:$K$350,"MVP")</f>
        <v/>
      </c>
      <c r="J24" s="66">
        <f>COUNTIFS(Backlog!$B$2:$B$350,$A24,Backlog!$K$2:$K$350,"Phase 2")</f>
        <v/>
      </c>
      <c r="K24" s="66">
        <f>COUNTIFS(Backlog!$B$2:$B$350,$A24,Backlog!$K$2:$K$350,"Phase 3")</f>
        <v/>
      </c>
      <c r="L24" s="66">
        <f>_xlfn.MINIFS(Backlog!$M$2:$M$350,Backlog!$B$2:$B$350,$A24)</f>
        <v/>
      </c>
      <c r="M24" s="66">
        <f>_xlfn.MAXIFS(Backlog!$M$2:$M$350,Backlog!$B$2:$B$350,$A24)</f>
        <v/>
      </c>
      <c r="N24" s="66">
        <f>COUNTIFS(Backlog!$B$2:$B$350,$A24,Backlog!$R$2:$R$350,"Done")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COUNTIF(Backlog!$B$2:$B$350,$A25)</f>
        <v/>
      </c>
      <c r="C25" s="66">
        <f>SUMIF(Backlog!$B$2:$B$350,$A25,Backlog!$L$2:$L$350)</f>
        <v/>
      </c>
      <c r="D25" s="74">
        <f>IFERROR(C25/$C$33,0)</f>
        <v/>
      </c>
      <c r="E25" s="67">
        <f>C25*README!$B$32</f>
        <v/>
      </c>
      <c r="F25" s="66">
        <f>COUNTIFS(Backlog!$B$2:$B$350,$A25,Backlog!$J$2:$J$350,"Must")</f>
        <v/>
      </c>
      <c r="G25" s="66">
        <f>COUNTIFS(Backlog!$B$2:$B$350,$A25,Backlog!$J$2:$J$350,"Should")</f>
        <v/>
      </c>
      <c r="H25" s="66">
        <f>COUNTIFS(Backlog!$B$2:$B$350,$A25,Backlog!$J$2:$J$350,"Could")</f>
        <v/>
      </c>
      <c r="I25" s="66">
        <f>COUNTIFS(Backlog!$B$2:$B$350,$A25,Backlog!$K$2:$K$350,"MVP")</f>
        <v/>
      </c>
      <c r="J25" s="66">
        <f>COUNTIFS(Backlog!$B$2:$B$350,$A25,Backlog!$K$2:$K$350,"Phase 2")</f>
        <v/>
      </c>
      <c r="K25" s="66">
        <f>COUNTIFS(Backlog!$B$2:$B$350,$A25,Backlog!$K$2:$K$350,"Phase 3")</f>
        <v/>
      </c>
      <c r="L25" s="66">
        <f>_xlfn.MINIFS(Backlog!$M$2:$M$350,Backlog!$B$2:$B$350,$A25)</f>
        <v/>
      </c>
      <c r="M25" s="66">
        <f>_xlfn.MAXIFS(Backlog!$M$2:$M$350,Backlog!$B$2:$B$350,$A25)</f>
        <v/>
      </c>
      <c r="N25" s="66">
        <f>COUNTIFS(Backlog!$B$2:$B$350,$A25,Backlog!$R$2:$R$350,"Done")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COUNTIF(Backlog!$B$2:$B$350,$A26)</f>
        <v/>
      </c>
      <c r="C26" s="66">
        <f>SUMIF(Backlog!$B$2:$B$350,$A26,Backlog!$L$2:$L$350)</f>
        <v/>
      </c>
      <c r="D26" s="74">
        <f>IFERROR(C26/$C$33,0)</f>
        <v/>
      </c>
      <c r="E26" s="67">
        <f>C26*README!$B$32</f>
        <v/>
      </c>
      <c r="F26" s="66">
        <f>COUNTIFS(Backlog!$B$2:$B$350,$A26,Backlog!$J$2:$J$350,"Must")</f>
        <v/>
      </c>
      <c r="G26" s="66">
        <f>COUNTIFS(Backlog!$B$2:$B$350,$A26,Backlog!$J$2:$J$350,"Should")</f>
        <v/>
      </c>
      <c r="H26" s="66">
        <f>COUNTIFS(Backlog!$B$2:$B$350,$A26,Backlog!$J$2:$J$350,"Could")</f>
        <v/>
      </c>
      <c r="I26" s="66">
        <f>COUNTIFS(Backlog!$B$2:$B$350,$A26,Backlog!$K$2:$K$350,"MVP")</f>
        <v/>
      </c>
      <c r="J26" s="66">
        <f>COUNTIFS(Backlog!$B$2:$B$350,$A26,Backlog!$K$2:$K$350,"Phase 2")</f>
        <v/>
      </c>
      <c r="K26" s="66">
        <f>COUNTIFS(Backlog!$B$2:$B$350,$A26,Backlog!$K$2:$K$350,"Phase 3")</f>
        <v/>
      </c>
      <c r="L26" s="66">
        <f>_xlfn.MINIFS(Backlog!$M$2:$M$350,Backlog!$B$2:$B$350,$A26)</f>
        <v/>
      </c>
      <c r="M26" s="66">
        <f>_xlfn.MAXIFS(Backlog!$M$2:$M$350,Backlog!$B$2:$B$350,$A26)</f>
        <v/>
      </c>
      <c r="N26" s="66">
        <f>COUNTIFS(Backlog!$B$2:$B$350,$A26,Backlog!$R$2:$R$350,"Done")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COUNTIF(Backlog!$B$2:$B$350,$A27)</f>
        <v/>
      </c>
      <c r="C27" s="66">
        <f>SUMIF(Backlog!$B$2:$B$350,$A27,Backlog!$L$2:$L$350)</f>
        <v/>
      </c>
      <c r="D27" s="74">
        <f>IFERROR(C27/$C$33,0)</f>
        <v/>
      </c>
      <c r="E27" s="67">
        <f>C27*README!$B$32</f>
        <v/>
      </c>
      <c r="F27" s="66">
        <f>COUNTIFS(Backlog!$B$2:$B$350,$A27,Backlog!$J$2:$J$350,"Must")</f>
        <v/>
      </c>
      <c r="G27" s="66">
        <f>COUNTIFS(Backlog!$B$2:$B$350,$A27,Backlog!$J$2:$J$350,"Should")</f>
        <v/>
      </c>
      <c r="H27" s="66">
        <f>COUNTIFS(Backlog!$B$2:$B$350,$A27,Backlog!$J$2:$J$350,"Could")</f>
        <v/>
      </c>
      <c r="I27" s="66">
        <f>COUNTIFS(Backlog!$B$2:$B$350,$A27,Backlog!$K$2:$K$350,"MVP")</f>
        <v/>
      </c>
      <c r="J27" s="66">
        <f>COUNTIFS(Backlog!$B$2:$B$350,$A27,Backlog!$K$2:$K$350,"Phase 2")</f>
        <v/>
      </c>
      <c r="K27" s="66">
        <f>COUNTIFS(Backlog!$B$2:$B$350,$A27,Backlog!$K$2:$K$350,"Phase 3")</f>
        <v/>
      </c>
      <c r="L27" s="66">
        <f>_xlfn.MINIFS(Backlog!$M$2:$M$350,Backlog!$B$2:$B$350,$A27)</f>
        <v/>
      </c>
      <c r="M27" s="66">
        <f>_xlfn.MAXIFS(Backlog!$M$2:$M$350,Backlog!$B$2:$B$350,$A27)</f>
        <v/>
      </c>
      <c r="N27" s="66">
        <f>COUNTIFS(Backlog!$B$2:$B$350,$A27,Backlog!$R$2:$R$350,"Done")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COUNTIF(Backlog!$B$2:$B$350,$A28)</f>
        <v/>
      </c>
      <c r="C28" s="66">
        <f>SUMIF(Backlog!$B$2:$B$350,$A28,Backlog!$L$2:$L$350)</f>
        <v/>
      </c>
      <c r="D28" s="74">
        <f>IFERROR(C28/$C$33,0)</f>
        <v/>
      </c>
      <c r="E28" s="67">
        <f>C28*README!$B$32</f>
        <v/>
      </c>
      <c r="F28" s="66">
        <f>COUNTIFS(Backlog!$B$2:$B$350,$A28,Backlog!$J$2:$J$350,"Must")</f>
        <v/>
      </c>
      <c r="G28" s="66">
        <f>COUNTIFS(Backlog!$B$2:$B$350,$A28,Backlog!$J$2:$J$350,"Should")</f>
        <v/>
      </c>
      <c r="H28" s="66">
        <f>COUNTIFS(Backlog!$B$2:$B$350,$A28,Backlog!$J$2:$J$350,"Could")</f>
        <v/>
      </c>
      <c r="I28" s="66">
        <f>COUNTIFS(Backlog!$B$2:$B$350,$A28,Backlog!$K$2:$K$350,"MVP")</f>
        <v/>
      </c>
      <c r="J28" s="66">
        <f>COUNTIFS(Backlog!$B$2:$B$350,$A28,Backlog!$K$2:$K$350,"Phase 2")</f>
        <v/>
      </c>
      <c r="K28" s="66">
        <f>COUNTIFS(Backlog!$B$2:$B$350,$A28,Backlog!$K$2:$K$350,"Phase 3")</f>
        <v/>
      </c>
      <c r="L28" s="66">
        <f>_xlfn.MINIFS(Backlog!$M$2:$M$350,Backlog!$B$2:$B$350,$A28)</f>
        <v/>
      </c>
      <c r="M28" s="66">
        <f>_xlfn.MAXIFS(Backlog!$M$2:$M$350,Backlog!$B$2:$B$350,$A28)</f>
        <v/>
      </c>
      <c r="N28" s="66">
        <f>COUNTIFS(Backlog!$B$2:$B$350,$A28,Backlog!$R$2:$R$350,"Done")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COUNTIF(Backlog!$B$2:$B$350,$A29)</f>
        <v/>
      </c>
      <c r="C29" s="66">
        <f>SUMIF(Backlog!$B$2:$B$350,$A29,Backlog!$L$2:$L$350)</f>
        <v/>
      </c>
      <c r="D29" s="74">
        <f>IFERROR(C29/$C$33,0)</f>
        <v/>
      </c>
      <c r="E29" s="67">
        <f>C29*README!$B$32</f>
        <v/>
      </c>
      <c r="F29" s="66">
        <f>COUNTIFS(Backlog!$B$2:$B$350,$A29,Backlog!$J$2:$J$350,"Must")</f>
        <v/>
      </c>
      <c r="G29" s="66">
        <f>COUNTIFS(Backlog!$B$2:$B$350,$A29,Backlog!$J$2:$J$350,"Should")</f>
        <v/>
      </c>
      <c r="H29" s="66">
        <f>COUNTIFS(Backlog!$B$2:$B$350,$A29,Backlog!$J$2:$J$350,"Could")</f>
        <v/>
      </c>
      <c r="I29" s="66">
        <f>COUNTIFS(Backlog!$B$2:$B$350,$A29,Backlog!$K$2:$K$350,"MVP")</f>
        <v/>
      </c>
      <c r="J29" s="66">
        <f>COUNTIFS(Backlog!$B$2:$B$350,$A29,Backlog!$K$2:$K$350,"Phase 2")</f>
        <v/>
      </c>
      <c r="K29" s="66">
        <f>COUNTIFS(Backlog!$B$2:$B$350,$A29,Backlog!$K$2:$K$350,"Phase 3")</f>
        <v/>
      </c>
      <c r="L29" s="66">
        <f>_xlfn.MINIFS(Backlog!$M$2:$M$350,Backlog!$B$2:$B$350,$A29)</f>
        <v/>
      </c>
      <c r="M29" s="66">
        <f>_xlfn.MAXIFS(Backlog!$M$2:$M$350,Backlog!$B$2:$B$350,$A29)</f>
        <v/>
      </c>
      <c r="N29" s="66">
        <f>COUNTIFS(Backlog!$B$2:$B$350,$A29,Backlog!$R$2:$R$350,"Done")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COUNTIF(Backlog!$B$2:$B$350,$A30)</f>
        <v/>
      </c>
      <c r="C30" s="66">
        <f>SUMIF(Backlog!$B$2:$B$350,$A30,Backlog!$L$2:$L$350)</f>
        <v/>
      </c>
      <c r="D30" s="74">
        <f>IFERROR(C30/$C$33,0)</f>
        <v/>
      </c>
      <c r="E30" s="67">
        <f>C30*README!$B$32</f>
        <v/>
      </c>
      <c r="F30" s="66">
        <f>COUNTIFS(Backlog!$B$2:$B$350,$A30,Backlog!$J$2:$J$350,"Must")</f>
        <v/>
      </c>
      <c r="G30" s="66">
        <f>COUNTIFS(Backlog!$B$2:$B$350,$A30,Backlog!$J$2:$J$350,"Should")</f>
        <v/>
      </c>
      <c r="H30" s="66">
        <f>COUNTIFS(Backlog!$B$2:$B$350,$A30,Backlog!$J$2:$J$350,"Could")</f>
        <v/>
      </c>
      <c r="I30" s="66">
        <f>COUNTIFS(Backlog!$B$2:$B$350,$A30,Backlog!$K$2:$K$350,"MVP")</f>
        <v/>
      </c>
      <c r="J30" s="66">
        <f>COUNTIFS(Backlog!$B$2:$B$350,$A30,Backlog!$K$2:$K$350,"Phase 2")</f>
        <v/>
      </c>
      <c r="K30" s="66">
        <f>COUNTIFS(Backlog!$B$2:$B$350,$A30,Backlog!$K$2:$K$350,"Phase 3")</f>
        <v/>
      </c>
      <c r="L30" s="66">
        <f>_xlfn.MINIFS(Backlog!$M$2:$M$350,Backlog!$B$2:$B$350,$A30)</f>
        <v/>
      </c>
      <c r="M30" s="66">
        <f>_xlfn.MAXIFS(Backlog!$M$2:$M$350,Backlog!$B$2:$B$350,$A30)</f>
        <v/>
      </c>
      <c r="N30" s="66">
        <f>COUNTIFS(Backlog!$B$2:$B$350,$A30,Backlog!$R$2:$R$350,"Done")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COUNTIF(Backlog!$B$2:$B$350,$A31)</f>
        <v/>
      </c>
      <c r="C31" s="66">
        <f>SUMIF(Backlog!$B$2:$B$350,$A31,Backlog!$L$2:$L$350)</f>
        <v/>
      </c>
      <c r="D31" s="74">
        <f>IFERROR(C31/$C$33,0)</f>
        <v/>
      </c>
      <c r="E31" s="67">
        <f>C31*README!$B$32</f>
        <v/>
      </c>
      <c r="F31" s="66">
        <f>COUNTIFS(Backlog!$B$2:$B$350,$A31,Backlog!$J$2:$J$350,"Must")</f>
        <v/>
      </c>
      <c r="G31" s="66">
        <f>COUNTIFS(Backlog!$B$2:$B$350,$A31,Backlog!$J$2:$J$350,"Should")</f>
        <v/>
      </c>
      <c r="H31" s="66">
        <f>COUNTIFS(Backlog!$B$2:$B$350,$A31,Backlog!$J$2:$J$350,"Could")</f>
        <v/>
      </c>
      <c r="I31" s="66">
        <f>COUNTIFS(Backlog!$B$2:$B$350,$A31,Backlog!$K$2:$K$350,"MVP")</f>
        <v/>
      </c>
      <c r="J31" s="66">
        <f>COUNTIFS(Backlog!$B$2:$B$350,$A31,Backlog!$K$2:$K$350,"Phase 2")</f>
        <v/>
      </c>
      <c r="K31" s="66">
        <f>COUNTIFS(Backlog!$B$2:$B$350,$A31,Backlog!$K$2:$K$350,"Phase 3")</f>
        <v/>
      </c>
      <c r="L31" s="66">
        <f>_xlfn.MINIFS(Backlog!$M$2:$M$350,Backlog!$B$2:$B$350,$A31)</f>
        <v/>
      </c>
      <c r="M31" s="66">
        <f>_xlfn.MAXIFS(Backlog!$M$2:$M$350,Backlog!$B$2:$B$350,$A31)</f>
        <v/>
      </c>
      <c r="N31" s="66">
        <f>COUNTIFS(Backlog!$B$2:$B$350,$A31,Backlog!$R$2:$R$350,"Done")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COUNTIF(Backlog!$B$2:$B$350,$A32)</f>
        <v/>
      </c>
      <c r="C32" s="66">
        <f>SUMIF(Backlog!$B$2:$B$350,$A32,Backlog!$L$2:$L$350)</f>
        <v/>
      </c>
      <c r="D32" s="74">
        <f>IFERROR(C32/$C$33,0)</f>
        <v/>
      </c>
      <c r="E32" s="67">
        <f>C32*README!$B$32</f>
        <v/>
      </c>
      <c r="F32" s="66">
        <f>COUNTIFS(Backlog!$B$2:$B$350,$A32,Backlog!$J$2:$J$350,"Must")</f>
        <v/>
      </c>
      <c r="G32" s="66">
        <f>COUNTIFS(Backlog!$B$2:$B$350,$A32,Backlog!$J$2:$J$350,"Should")</f>
        <v/>
      </c>
      <c r="H32" s="66">
        <f>COUNTIFS(Backlog!$B$2:$B$350,$A32,Backlog!$J$2:$J$350,"Could")</f>
        <v/>
      </c>
      <c r="I32" s="66">
        <f>COUNTIFS(Backlog!$B$2:$B$350,$A32,Backlog!$K$2:$K$350,"MVP")</f>
        <v/>
      </c>
      <c r="J32" s="66">
        <f>COUNTIFS(Backlog!$B$2:$B$350,$A32,Backlog!$K$2:$K$350,"Phase 2")</f>
        <v/>
      </c>
      <c r="K32" s="66">
        <f>COUNTIFS(Backlog!$B$2:$B$350,$A32,Backlog!$K$2:$K$350,"Phase 3")</f>
        <v/>
      </c>
      <c r="L32" s="66">
        <f>_xlfn.MINIFS(Backlog!$M$2:$M$350,Backlog!$B$2:$B$350,$A32)</f>
        <v/>
      </c>
      <c r="M32" s="66">
        <f>_xlfn.MAXIFS(Backlog!$M$2:$M$350,Backlog!$B$2:$B$350,$A32)</f>
        <v/>
      </c>
      <c r="N32" s="66">
        <f>COUNTIFS(Backlog!$B$2:$B$350,$A32,Backlog!$R$2:$R$350,"Done")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COUNTIF(Backlog!$M$2:$M$350,$A5)</f>
        <v/>
      </c>
      <c r="F5" s="66">
        <f>SUMIF(Backlog!$M$2:$M$350,$A5,Backlog!$L$2:$L$350)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COUNTIFS(Backlog!$M$2:$M$350,$A5,Backlog!$J$2:$J$350,"Must")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COUNTIF(Backlog!$M$2:$M$350,$A6)</f>
        <v/>
      </c>
      <c r="F6" s="66">
        <f>SUMIF(Backlog!$M$2:$M$350,$A6,Backlog!$L$2:$L$350)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COUNTIFS(Backlog!$M$2:$M$350,$A6,Backlog!$J$2:$J$350,"Must")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COUNTIF(Backlog!$M$2:$M$350,$A7)</f>
        <v/>
      </c>
      <c r="F7" s="66">
        <f>SUMIF(Backlog!$M$2:$M$350,$A7,Backlog!$L$2:$L$350)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COUNTIFS(Backlog!$M$2:$M$350,$A7,Backlog!$J$2:$J$350,"Must")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COUNTIF(Backlog!$M$2:$M$350,$A8)</f>
        <v/>
      </c>
      <c r="F8" s="66">
        <f>SUMIF(Backlog!$M$2:$M$350,$A8,Backlog!$L$2:$L$350)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COUNTIFS(Backlog!$M$2:$M$350,$A8,Backlog!$J$2:$J$350,"Must")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COUNTIF(Backlog!$M$2:$M$350,$A9)</f>
        <v/>
      </c>
      <c r="F9" s="66">
        <f>SUMIF(Backlog!$M$2:$M$350,$A9,Backlog!$L$2:$L$350)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COUNTIFS(Backlog!$M$2:$M$350,$A9,Backlog!$J$2:$J$350,"Must")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COUNTIF(Backlog!$M$2:$M$350,$A10)</f>
        <v/>
      </c>
      <c r="F10" s="66">
        <f>SUMIF(Backlog!$M$2:$M$350,$A10,Backlog!$L$2:$L$350)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COUNTIFS(Backlog!$M$2:$M$350,$A10,Backlog!$J$2:$J$350,"Must")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COUNTIF(Backlog!$M$2:$M$350,$A11)</f>
        <v/>
      </c>
      <c r="F11" s="66">
        <f>SUMIF(Backlog!$M$2:$M$350,$A11,Backlog!$L$2:$L$350)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COUNTIFS(Backlog!$M$2:$M$350,$A11,Backlog!$J$2:$J$350,"Must")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COUNTIF(Backlog!$M$2:$M$350,$A12)</f>
        <v/>
      </c>
      <c r="F12" s="66">
        <f>SUMIF(Backlog!$M$2:$M$350,$A12,Backlog!$L$2:$L$350)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COUNTIFS(Backlog!$M$2:$M$350,$A12,Backlog!$J$2:$J$350,"Must")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COUNTIF(Backlog!$M$2:$M$350,$A13)</f>
        <v/>
      </c>
      <c r="F13" s="66">
        <f>SUMIF(Backlog!$M$2:$M$350,$A13,Backlog!$L$2:$L$350)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COUNTIFS(Backlog!$M$2:$M$350,$A13,Backlog!$J$2:$J$350,"Must")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COUNTIF(Backlog!$M$2:$M$350,$A14)</f>
        <v/>
      </c>
      <c r="F14" s="66">
        <f>SUMIF(Backlog!$M$2:$M$350,$A14,Backlog!$L$2:$L$350)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COUNTIFS(Backlog!$M$2:$M$350,$A14,Backlog!$J$2:$J$350,"Must")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COUNTIF(Backlog!$M$2:$M$350,$A15)</f>
        <v/>
      </c>
      <c r="F15" s="66">
        <f>SUMIF(Backlog!$M$2:$M$350,$A15,Backlog!$L$2:$L$350)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COUNTIFS(Backlog!$M$2:$M$350,$A15,Backlog!$J$2:$J$350,"Must")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COUNTIF(Backlog!$M$2:$M$350,$A16)</f>
        <v/>
      </c>
      <c r="F16" s="66">
        <f>SUMIF(Backlog!$M$2:$M$350,$A16,Backlog!$L$2:$L$350)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COUNTIFS(Backlog!$M$2:$M$350,$A16,Backlog!$J$2:$J$350,"Must")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COUNTIF(Backlog!$M$2:$M$350,$A17)</f>
        <v/>
      </c>
      <c r="F17" s="66">
        <f>SUMIF(Backlog!$M$2:$M$350,$A17,Backlog!$L$2:$L$350)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COUNTIFS(Backlog!$M$2:$M$350,$A17,Backlog!$J$2:$J$350,"Must")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COUNTIF(Backlog!$M$2:$M$350,$A18)</f>
        <v/>
      </c>
      <c r="F18" s="66">
        <f>SUMIF(Backlog!$M$2:$M$350,$A18,Backlog!$L$2:$L$350)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COUNTIFS(Backlog!$M$2:$M$350,$A18,Backlog!$J$2:$J$350,"Must")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COUNTIF(Backlog!$M$2:$M$350,$A19)</f>
        <v/>
      </c>
      <c r="F19" s="66">
        <f>SUMIF(Backlog!$M$2:$M$350,$A19,Backlog!$L$2:$L$350)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COUNTIFS(Backlog!$M$2:$M$350,$A19,Backlog!$J$2:$J$350,"Must")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COUNTIF(Backlog!$M$2:$M$350,$A20)</f>
        <v/>
      </c>
      <c r="F20" s="66">
        <f>SUMIF(Backlog!$M$2:$M$350,$A20,Backlog!$L$2:$L$350)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COUNTIFS(Backlog!$M$2:$M$350,$A20,Backlog!$J$2:$J$350,"Must")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COUNTIF(Backlog!$M$2:$M$350,$A21)</f>
        <v/>
      </c>
      <c r="F21" s="66">
        <f>SUMIF(Backlog!$M$2:$M$350,$A21,Backlog!$L$2:$L$350)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COUNTIFS(Backlog!$M$2:$M$350,$A21,Backlog!$J$2:$J$350,"Must")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COUNTIF(Backlog!$M$2:$M$350,$A22)</f>
        <v/>
      </c>
      <c r="F22" s="66">
        <f>SUMIF(Backlog!$M$2:$M$350,$A22,Backlog!$L$2:$L$350)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COUNTIFS(Backlog!$M$2:$M$350,$A22,Backlog!$J$2:$J$350,"Must")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COUNTIF(Backlog!$M$2:$M$350,$A23)</f>
        <v/>
      </c>
      <c r="F23" s="66">
        <f>SUMIF(Backlog!$M$2:$M$350,$A23,Backlog!$L$2:$L$350)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COUNTIFS(Backlog!$M$2:$M$350,$A23,Backlog!$J$2:$J$350,"Must")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COUNTIF(Backlog!$M$2:$M$350,$A24)</f>
        <v/>
      </c>
      <c r="F24" s="66">
        <f>SUMIF(Backlog!$M$2:$M$350,$A24,Backlog!$L$2:$L$350)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COUNTIFS(Backlog!$M$2:$M$350,$A24,Backlog!$J$2:$J$350,"Must")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COUNTIF(Backlog!$M$2:$M$350,$A25)</f>
        <v/>
      </c>
      <c r="F25" s="66">
        <f>SUMIF(Backlog!$M$2:$M$350,$A25,Backlog!$L$2:$L$350)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COUNTIFS(Backlog!$M$2:$M$350,$A25,Backlog!$J$2:$J$350,"Must")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COUNTIF(Backlog!$M$2:$M$350,$A26)</f>
        <v/>
      </c>
      <c r="F26" s="66">
        <f>SUMIF(Backlog!$M$2:$M$350,$A26,Backlog!$L$2:$L$350)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COUNTIFS(Backlog!$M$2:$M$350,$A26,Backlog!$J$2:$J$350,"Must")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COUNTIF(Backlog!$M$2:$M$350,$A27)</f>
        <v/>
      </c>
      <c r="F27" s="66">
        <f>SUMIF(Backlog!$M$2:$M$350,$A27,Backlog!$L$2:$L$350)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COUNTIFS(Backlog!$M$2:$M$350,$A27,Backlog!$J$2:$J$350,"Must")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COUNTIF(Backlog!$H$2:$H$350,$A5)</f>
        <v/>
      </c>
      <c r="D5" s="66">
        <f>SUMIF(Backlog!$H$2:$H$350,$A5,Backlog!$L$2:$L$350)</f>
        <v/>
      </c>
      <c r="E5" s="74">
        <f>IFERROR(D5/$D$9,0)</f>
        <v/>
      </c>
      <c r="F5" s="67">
        <f>D5*README!$B$32</f>
        <v/>
      </c>
      <c r="G5" s="66">
        <f>_xlfn.MINIFS(Backlog!$M$2:$M$350,Backlog!$H$2:$H$350,$A5)</f>
        <v/>
      </c>
      <c r="H5" s="66">
        <f>_xlfn.MAXIFS(Backlog!$M$2:$M$350,Backlog!$H$2:$H$350,$A5)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COUNTIF(Backlog!$H$2:$H$350,$A6)</f>
        <v/>
      </c>
      <c r="D6" s="66">
        <f>SUMIF(Backlog!$H$2:$H$350,$A6,Backlog!$L$2:$L$350)</f>
        <v/>
      </c>
      <c r="E6" s="74">
        <f>IFERROR(D6/$D$9,0)</f>
        <v/>
      </c>
      <c r="F6" s="67">
        <f>D6*README!$B$32</f>
        <v/>
      </c>
      <c r="G6" s="66">
        <f>_xlfn.MINIFS(Backlog!$M$2:$M$350,Backlog!$H$2:$H$350,$A6)</f>
        <v/>
      </c>
      <c r="H6" s="66">
        <f>_xlfn.MAXIFS(Backlog!$M$2:$M$350,Backlog!$H$2:$H$350,$A6)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COUNTIF(Backlog!$H$2:$H$350,$A7)</f>
        <v/>
      </c>
      <c r="D7" s="66">
        <f>SUMIF(Backlog!$H$2:$H$350,$A7,Backlog!$L$2:$L$350)</f>
        <v/>
      </c>
      <c r="E7" s="74">
        <f>IFERROR(D7/$D$9,0)</f>
        <v/>
      </c>
      <c r="F7" s="67">
        <f>D7*README!$B$32</f>
        <v/>
      </c>
      <c r="G7" s="66">
        <f>_xlfn.MINIFS(Backlog!$M$2:$M$350,Backlog!$H$2:$H$350,$A7)</f>
        <v/>
      </c>
      <c r="H7" s="66">
        <f>_xlfn.MAXIFS(Backlog!$M$2:$M$350,Backlog!$H$2:$H$350,$A7)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COUNTIF(Backlog!$H$2:$H$350,$A8)</f>
        <v/>
      </c>
      <c r="D8" s="66">
        <f>SUMIF(Backlog!$H$2:$H$350,$A8,Backlog!$L$2:$L$350)</f>
        <v/>
      </c>
      <c r="E8" s="74">
        <f>IFERROR(D8/$D$9,0)</f>
        <v/>
      </c>
      <c r="F8" s="67">
        <f>D8*README!$B$32</f>
        <v/>
      </c>
      <c r="G8" s="66">
        <f>_xlfn.MINIFS(Backlog!$M$2:$M$350,Backlog!$H$2:$H$350,$A8)</f>
        <v/>
      </c>
      <c r="H8" s="66">
        <f>_xlfn.MAXIFS(Backlog!$M$2:$M$350,Backlog!$H$2:$H$350,$A8)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2026-08-17T12:18:17Z</dcterms:modified>
  <cp:revision>0</cp:revision>
</cp:coreProperties>
</file>