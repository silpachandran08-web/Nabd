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Backlog" sheetId="2" state="visible" r:id="rId2"/>
    <sheet name="Requirement Coverage" sheetId="3" state="visible" r:id="rId3"/>
    <sheet name="Epics" sheetId="4" state="visible" r:id="rId4"/>
    <sheet name="Sprints" sheetId="5" state="visible" r:id="rId5"/>
    <sheet name="Tracks" sheetId="6" state="visible" r:id="rId6"/>
    <sheet name="RBAC Matrix" sheetId="7" state="visible" r:id="rId7"/>
    <sheet name="SaaS Operator Roles" sheetId="8" state="visible" r:id="rId8"/>
    <sheet name="Security Controls" sheetId="9" state="visible" r:id="rId9"/>
    <sheet name="Risks" sheetId="10" state="visible" r:id="rId10"/>
    <sheet name="Changes from v1" sheetId="11" state="visible" r:id="rId11"/>
  </sheets>
  <definedNames>
    <definedName name="_xlnm._FilterDatabase" localSheetId="1" hidden="1">'Backlog'!$A$1:$S$350</definedName>
    <definedName name="_xlnm._FilterDatabase" localSheetId="2" hidden="1">'Requirement Coverage'!$A$4:$G$189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A2E33"/>
      <sz val="16"/>
    </font>
    <font>
      <name val="Arial"/>
      <charset val="1"/>
      <family val="0"/>
      <i val="1"/>
      <color rgb="FF4B565E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A2E33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4B565E"/>
      <sz val="10"/>
    </font>
    <font>
      <name val="Arial"/>
      <charset val="1"/>
      <family val="0"/>
      <i val="1"/>
      <color rgb="FFC00000"/>
      <sz val="10"/>
    </font>
    <font>
      <name val="Arial"/>
      <charset val="1"/>
      <family val="0"/>
      <sz val="9"/>
    </font>
    <font>
      <name val="Arial"/>
      <charset val="1"/>
      <family val="0"/>
      <b val="1"/>
      <color rgb="FFC00000"/>
      <sz val="12"/>
    </font>
  </fonts>
  <fills count="10">
    <fill>
      <patternFill/>
    </fill>
    <fill>
      <patternFill patternType="gray125"/>
    </fill>
    <fill>
      <patternFill patternType="solid">
        <fgColor rgb="FF0A2E33"/>
        <bgColor rgb="FF003300"/>
      </patternFill>
    </fill>
    <fill>
      <patternFill patternType="solid">
        <fgColor rgb="FFFFF2CC"/>
        <bgColor rgb="FFEFEFEF"/>
      </patternFill>
    </fill>
    <fill>
      <patternFill patternType="solid">
        <fgColor rgb="FFF2F7F8"/>
        <bgColor rgb="FFEFEFEF"/>
      </patternFill>
    </fill>
    <fill>
      <patternFill patternType="solid">
        <fgColor rgb="FFDCEEF0"/>
        <bgColor rgb="FFD6F5E3"/>
      </patternFill>
    </fill>
    <fill>
      <patternFill patternType="solid">
        <fgColor rgb="FFD6F5E3"/>
        <bgColor rgb="FFDCEEF0"/>
      </patternFill>
    </fill>
    <fill>
      <patternFill patternType="solid">
        <fgColor rgb="FFEFEFEF"/>
        <bgColor rgb="FFF2F7F8"/>
      </patternFill>
    </fill>
    <fill>
      <patternFill patternType="solid">
        <fgColor rgb="FFFBD5D8"/>
        <bgColor rgb="FFEADCF8"/>
      </patternFill>
    </fill>
    <fill>
      <patternFill patternType="solid">
        <fgColor rgb="FFEADCF8"/>
        <bgColor rgb="FFFBD5D8"/>
      </patternFill>
    </fill>
  </fills>
  <borders count="2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2" fontId="12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164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/>
    </xf>
    <xf numFmtId="165" fontId="7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9" fontId="6" fillId="5" borderId="1" applyAlignment="1" pivotButton="0" quotePrefix="0" xfId="0">
      <alignment horizontal="center" vertical="center"/>
    </xf>
    <xf numFmtId="3" fontId="6" fillId="0" borderId="0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165" fontId="6" fillId="5" borderId="1" applyAlignment="1" pivotButton="0" quotePrefix="0" xfId="0">
      <alignment horizontal="general" vertical="bottom"/>
    </xf>
    <xf numFmtId="164" fontId="6" fillId="5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general" vertical="top" wrapText="1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2" fontId="12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164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/>
    </xf>
    <xf numFmtId="165" fontId="7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9" fontId="6" fillId="5" borderId="1" applyAlignment="1" pivotButton="0" quotePrefix="0" xfId="0">
      <alignment horizontal="center" vertical="center"/>
    </xf>
    <xf numFmtId="3" fontId="6" fillId="0" borderId="0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165" fontId="6" fillId="5" borderId="1" applyAlignment="1" pivotButton="0" quotePrefix="0" xfId="0">
      <alignment horizontal="general" vertical="bottom"/>
    </xf>
    <xf numFmtId="164" fontId="6" fillId="5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general" vertical="top" wrapText="1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 patternType="solid">
          <fgColor rgb="FF0A2E33"/>
          <bgColor rgb="FF000000"/>
        </patternFill>
      </fill>
    </dxf>
    <dxf>
      <fill>
        <patternFill patternType="solid">
          <fgColor rgb="FFF2F7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ADCF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6F5E3"/>
        </patternFill>
      </fill>
    </dxf>
    <dxf>
      <fill>
        <patternFill>
          <bgColor rgb="FFFBD5D8"/>
        </patternFill>
      </fill>
    </dxf>
    <dxf>
      <font>
        <name val="Arial"/>
        <charset val="1"/>
        <family val="0"/>
        <b val="1"/>
        <color rgb="FFC00000"/>
        <sz val="10"/>
      </font>
    </dxf>
    <dxf>
      <fill>
        <patternFill>
          <bgColor rgb="FFEADCF8"/>
        </patternFill>
      </fill>
    </dxf>
    <dxf>
      <fill>
        <patternFill>
          <bgColor rgb="FFFFF2CC"/>
        </patternFill>
      </fill>
    </dxf>
    <dxf>
      <fill>
        <patternFill patternType="solid">
          <fgColor rgb="FFD6F5E3"/>
          <bgColor rgb="FF000000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BD5D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CF8"/>
      <rgbColor rgb="FF808080"/>
      <rgbColor rgb="FF9999FF"/>
      <rgbColor rgb="FF993366"/>
      <rgbColor rgb="FFFFF2CC"/>
      <rgbColor rgb="FFDCEEF0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8"/>
      <rgbColor rgb="FFD6F5E3"/>
      <rgbColor rgb="FFEFEFEF"/>
      <rgbColor rgb="FF99CCFF"/>
      <rgbColor rgb="FFFF99CC"/>
      <rgbColor rgb="FFCC99FF"/>
      <rgbColor rgb="FFFBD5D8"/>
      <rgbColor rgb="FF3366FF"/>
      <rgbColor rgb="FF33CCCC"/>
      <rgbColor rgb="FF99CC00"/>
      <rgbColor rgb="FFFFCC00"/>
      <rgbColor rgb="FFFF9900"/>
      <rgbColor rgb="FFFF6600"/>
      <rgbColor rgb="FF4B565E"/>
      <rgbColor rgb="FF969696"/>
      <rgbColor rgb="FF0A2E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5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50" min="1" max="1"/>
    <col width="66" customWidth="1" style="50" min="2" max="2"/>
    <col width="62" customWidth="1" style="50" min="3" max="3"/>
  </cols>
  <sheetData>
    <row r="1" ht="19.7" customHeight="1" s="51">
      <c r="A1" s="52" t="inlineStr">
        <is>
          <t>Nabd — Hospital / Clinic Management System</t>
        </is>
      </c>
    </row>
    <row r="2" ht="15" customHeight="1" s="51">
      <c r="A2" s="53" t="inlineStr">
        <is>
          <t>Implementation Task Plan v2 — rebuilt against the updated wireframe</t>
        </is>
      </c>
    </row>
    <row r="4" ht="15" customHeight="1" s="51">
      <c r="A4" s="54" t="inlineStr">
        <is>
          <t>Prepared for</t>
        </is>
      </c>
      <c r="B4" s="55" t="inlineStr">
        <is>
          <t>Harish</t>
        </is>
      </c>
    </row>
    <row r="5" ht="15" customHeight="1" s="51">
      <c r="A5" s="54" t="inlineStr">
        <is>
          <t>Date</t>
        </is>
      </c>
      <c r="B5" s="55" t="inlineStr">
        <is>
          <t>13 August 2026</t>
        </is>
      </c>
    </row>
    <row r="6" ht="15" customHeight="1" s="51">
      <c r="A6" s="54" t="inlineStr">
        <is>
          <t>Supersedes</t>
        </is>
      </c>
      <c r="B6" s="55" t="inlineStr">
        <is>
          <t>v1 of 11 August 2026 (202 tasks, 1,210 points)</t>
        </is>
      </c>
    </row>
    <row r="7" ht="15" customHeight="1" s="51">
      <c r="A7" s="54" t="inlineStr">
        <is>
          <t>Source</t>
        </is>
      </c>
      <c r="B7" s="55" t="inlineStr">
        <is>
          <t>Nabd wireframe (Platform Console v29 + current shell) and DESIGN.md in the connected folder</t>
        </is>
      </c>
    </row>
    <row r="9" ht="15" customHeight="1" s="51">
      <c r="A9" s="56" t="inlineStr">
        <is>
          <t>WHAT THE UPDATED WIREFRAME CHANGED</t>
        </is>
      </c>
    </row>
    <row r="10" ht="15" customHeight="1" s="51">
      <c r="A10" s="55" t="inlineStr">
        <is>
          <t>The wireframe now carries a formal requirement register — 185 identifiers across 30 prefixes (SYS, PAT, CGV, CAD, RCP, OWN, PKG, BIL,</t>
        </is>
      </c>
    </row>
    <row r="11" ht="15" customHeight="1" s="51">
      <c r="A11" s="55" t="inlineStr">
        <is>
          <t xml:space="preserve">   PHR, CMP, DPO, SSA, SCS, AGG, CEO, NFR, MKT and nine clinical specialties). Every task below is traced to those identifiers, and the</t>
        </is>
      </c>
    </row>
    <row r="12" ht="15" customHeight="1" s="51">
      <c r="A12" s="55" t="inlineStr">
        <is>
          <t xml:space="preserve">   Requirement Coverage tab proves all 185 are covered.</t>
        </is>
      </c>
    </row>
    <row r="13" ht="15" customHeight="1" s="51">
      <c r="A13" s="55" t="inlineStr">
        <is>
          <t>Four product areas exist now that did not exist in v1: the patient WhatsApp surface, caregiver and family handling, the aggregator layer,</t>
        </is>
      </c>
    </row>
    <row r="14" ht="15" customHeight="1" s="51">
      <c r="A14" s="55" t="inlineStr">
        <is>
          <t xml:space="preserve">   and a rebuilt platform console with seven distinct SaaS operator roles.</t>
        </is>
      </c>
    </row>
    <row r="15" ht="15" customHeight="1" s="51">
      <c r="A15" s="55" t="inlineStr">
        <is>
          <t>DESIGN.md gained a full chart system (sections 8.22-8.29) and a messaging component set (8.16-8.21). Both are now build epics.</t>
        </is>
      </c>
    </row>
    <row r="16" ht="15" customHeight="1" s="51">
      <c r="A16" s="55" t="inlineStr">
        <is>
          <t>Scope roughly doubled: 349 tasks and 2,260 points against v1's 202 and 1,210.</t>
        </is>
      </c>
    </row>
    <row r="18" ht="15" customHeight="1" s="51">
      <c r="A18" s="57" t="inlineStr">
        <is>
          <t>EXPLICIT NON-GOALS TAKEN FROM THE WIREFRAME — do not build these</t>
        </is>
      </c>
    </row>
    <row r="19" ht="15" customHeight="1" s="51">
      <c r="A19" s="58" t="inlineStr">
        <is>
          <t>NFR-06</t>
        </is>
      </c>
      <c r="B19" s="55" t="inlineStr">
        <is>
          <t>No SSO and no hardware security keys. Staff sign in with WhatsApp OTP, a short PIN or an authenticator app. The v1 SSO/OIDC task has been deleted.</t>
        </is>
      </c>
    </row>
    <row r="20" ht="15" customHeight="1" s="51">
      <c r="A20" s="58" t="inlineStr">
        <is>
          <t>CAD-10</t>
        </is>
      </c>
      <c r="B20" s="55" t="inlineStr">
        <is>
          <t>No payroll engine. Payroll is a CSV export only.</t>
        </is>
      </c>
    </row>
    <row r="21" ht="15" customHeight="1" s="51">
      <c r="A21" s="58" t="inlineStr">
        <is>
          <t>SYS-10</t>
        </is>
      </c>
      <c r="B21" s="55" t="inlineStr">
        <is>
          <t>No live claims pipeline. Full claims go via certified middleware in Phase 3. Ayushman is out of scope. Only a simple claim export (BIL-11) and NPHIES eligibility-check-lite (RCP-07) are in scope.</t>
        </is>
      </c>
    </row>
    <row r="22" ht="15" customHeight="1" s="51">
      <c r="A22" s="58" t="inlineStr">
        <is>
          <t>PHR-04</t>
        </is>
      </c>
      <c r="B22" s="55" t="inlineStr">
        <is>
          <t>Controlled drugs get a warning and a register entry, never a hard block — no registered pharmacist licence is assumed.</t>
        </is>
      </c>
    </row>
    <row r="23" ht="15" customHeight="1" s="51">
      <c r="A23" s="58" t="inlineStr">
        <is>
          <t>CEO-14</t>
        </is>
      </c>
      <c r="B23" s="55" t="inlineStr">
        <is>
          <t>No review filtering or gating. Nabd and Google ratings are never blended into one number.</t>
        </is>
      </c>
    </row>
    <row r="24" ht="15" customHeight="1" s="51">
      <c r="A24" s="58" t="inlineStr">
        <is>
          <t>CEO-25</t>
        </is>
      </c>
      <c r="B24" s="55" t="inlineStr">
        <is>
          <t>Adherence data is capture-only and is never monetised.</t>
        </is>
      </c>
    </row>
    <row r="25" ht="15" customHeight="1" s="51">
      <c r="A25" s="58" t="inlineStr">
        <is>
          <t>AGG-03</t>
        </is>
      </c>
      <c r="B25" s="55" t="inlineStr">
        <is>
          <t>Word-to-specialty matching only. No symptom interpretation and no clinical triage.</t>
        </is>
      </c>
    </row>
    <row r="26" ht="15" customHeight="1" s="51">
      <c r="A26" s="58" t="inlineStr">
        <is>
          <t>PED-04</t>
        </is>
      </c>
      <c r="B26" s="55" t="inlineStr">
        <is>
          <t>Growth percentiles are never calculated in the UI — only a validated growth service may produce them.</t>
        </is>
      </c>
    </row>
    <row r="28" ht="15" customHeight="1" s="51">
      <c r="A28" s="56" t="inlineStr">
        <is>
          <t>PLANNING ASSUMPTIONS — edit the blue cells; everything derived recalculates</t>
        </is>
      </c>
    </row>
    <row r="29" ht="15" customHeight="1" s="51">
      <c r="A29" s="59" t="inlineStr">
        <is>
          <t>Assumption</t>
        </is>
      </c>
      <c r="B29" s="59" t="inlineStr">
        <is>
          <t>Value</t>
        </is>
      </c>
      <c r="C29" s="59" t="inlineStr">
        <is>
          <t>Note</t>
        </is>
      </c>
    </row>
    <row r="30" ht="15" customHeight="1" s="51">
      <c r="A30" s="60" t="inlineStr">
        <is>
          <t>Sprint length (weeks)</t>
        </is>
      </c>
      <c r="B30" s="61" t="n">
        <v>2</v>
      </c>
      <c r="C30" s="62" t="inlineStr">
        <is>
          <t>Standard two-week iteration</t>
        </is>
      </c>
    </row>
    <row r="31" ht="23.85" customHeight="1" s="51">
      <c r="A31" s="60" t="inlineStr">
        <is>
          <t>Velocity per squad (points / sprint)</t>
        </is>
      </c>
      <c r="B31" s="61" t="n">
        <v>40</v>
      </c>
      <c r="C31" s="62" t="inlineStr">
        <is>
          <t>A squad is roughly 6 people. Sprint capacity = this multiplied by the squads active that sprint.</t>
        </is>
      </c>
    </row>
    <row r="32" ht="15" customHeight="1" s="51">
      <c r="A32" s="60" t="inlineStr">
        <is>
          <t>Person-days per story point</t>
        </is>
      </c>
      <c r="B32" s="63" t="n">
        <v>0.6</v>
      </c>
      <c r="C32" s="62" t="inlineStr">
        <is>
          <t>Calibrate after two or three sprints; drives the indicative effort column only.</t>
        </is>
      </c>
    </row>
    <row r="33" ht="15" customHeight="1" s="51">
      <c r="A33" s="60" t="inlineStr">
        <is>
          <t>Blended cost per person-day</t>
        </is>
      </c>
      <c r="B33" s="61" t="n">
        <v>0</v>
      </c>
      <c r="C33" s="62" t="inlineStr">
        <is>
          <t>Optional — enter your rate to cost the plan. Left at zero by the author.</t>
        </is>
      </c>
    </row>
    <row r="34" ht="23.85" customHeight="1" s="51">
      <c r="A34" s="60" t="inlineStr">
        <is>
          <t>Peak squads in parallel</t>
        </is>
      </c>
      <c r="B34" s="61" t="n">
        <v>5</v>
      </c>
      <c r="C34" s="62" t="inlineStr">
        <is>
          <t>Reached in sprints 14-18. Roughly 30 delivery people at peak — this scope cannot be absorbed by one team.</t>
        </is>
      </c>
    </row>
    <row r="37" ht="15" customHeight="1" s="51">
      <c r="A37" s="56" t="inlineStr">
        <is>
          <t>TABS</t>
        </is>
      </c>
    </row>
    <row r="38" ht="15" customHeight="1" s="51">
      <c r="A38" s="59" t="inlineStr">
        <is>
          <t>Tab</t>
        </is>
      </c>
      <c r="B38" s="59" t="inlineStr">
        <is>
          <t>Purpose</t>
        </is>
      </c>
    </row>
    <row r="39" ht="23.85" customHeight="1" s="51">
      <c r="A39" s="64" t="inlineStr">
        <is>
          <t>Backlog</t>
        </is>
      </c>
      <c r="B39" s="62" t="inlineStr">
        <is>
          <t>The full task list — 349 rows. One row is one epic-level story. Edit Status, Sprint, Points and Owner.</t>
        </is>
      </c>
    </row>
    <row r="40" ht="23.85" customHeight="1" s="51">
      <c r="A40" s="64" t="inlineStr">
        <is>
          <t>Requirement Coverage</t>
        </is>
      </c>
      <c r="B40" s="62" t="inlineStr">
        <is>
          <t>Every one of the 185 wireframe requirement identifiers mapped to the tasks that deliver it. Zero uncovered is the release gate.</t>
        </is>
      </c>
    </row>
    <row r="41" ht="15" customHeight="1" s="51">
      <c r="A41" s="64" t="inlineStr">
        <is>
          <t>Epics</t>
        </is>
      </c>
      <c r="B41" s="62" t="inlineStr">
        <is>
          <t>Automatic rollup by epic. All formulas — do not type here.</t>
        </is>
      </c>
    </row>
    <row r="42" ht="15" customHeight="1" s="51">
      <c r="A42" s="64" t="inlineStr">
        <is>
          <t>Sprints</t>
        </is>
      </c>
      <c r="B42" s="62" t="inlineStr">
        <is>
          <t>Sprint load against ramped squad capacity. Over-capacity sprints turn red.</t>
        </is>
      </c>
    </row>
    <row r="43" ht="15" customHeight="1" s="51">
      <c r="A43" s="64" t="inlineStr">
        <is>
          <t>Tracks</t>
        </is>
      </c>
      <c r="B43" s="62" t="inlineStr">
        <is>
          <t>Rollup by parallel delivery track, showing how the four tracks are staffed.</t>
        </is>
      </c>
    </row>
    <row r="44" ht="23.85" customHeight="1" s="51">
      <c r="A44" s="64" t="inlineStr">
        <is>
          <t>RBAC Matrix</t>
        </is>
      </c>
      <c r="B44" s="62" t="inlineStr">
        <is>
          <t>The clinic role and permission grid taken from the wireframe — the specification for epic E06.</t>
        </is>
      </c>
    </row>
    <row r="45" ht="15" customHeight="1" s="51">
      <c r="A45" s="64" t="inlineStr">
        <is>
          <t>SaaS Operator Roles</t>
        </is>
      </c>
      <c r="B45" s="62" t="inlineStr">
        <is>
          <t>The seven platform-side roles from SSA-02 and what each may reach.</t>
        </is>
      </c>
    </row>
    <row r="46" ht="23.85" customHeight="1" s="51">
      <c r="A46" s="64" t="inlineStr">
        <is>
          <t>Security Controls</t>
        </is>
      </c>
      <c r="B46" s="62" t="inlineStr">
        <is>
          <t>Cybersecurity, privacy and compliance controls mapped to delivering tasks, with a go-live gate counter.</t>
        </is>
      </c>
    </row>
    <row r="47" ht="15" customHeight="1" s="51">
      <c r="A47" s="64" t="inlineStr">
        <is>
          <t>Risks</t>
        </is>
      </c>
      <c r="B47" s="62" t="inlineStr">
        <is>
          <t>Delivery, security and clinical-safety risks with owners and mitigations.</t>
        </is>
      </c>
    </row>
    <row r="48" ht="15" customHeight="1" s="51">
      <c r="A48" s="64" t="inlineStr">
        <is>
          <t>Changes from v1</t>
        </is>
      </c>
      <c r="B48" s="62" t="inlineStr">
        <is>
          <t>What was added, removed and re-scoped when the wireframe was updated.</t>
        </is>
      </c>
    </row>
    <row r="50" ht="15" customHeight="1" s="51">
      <c r="A50" s="65" t="inlineStr">
        <is>
          <t>Estimates are the author's architectural judgement from the wireframe, not a quotation. They assume no pre-existing codebase.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3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9" customWidth="1" style="50" min="1" max="1"/>
    <col width="34" customWidth="1" style="50" min="2" max="2"/>
    <col width="15" customWidth="1" style="50" min="3" max="3"/>
    <col width="40" customWidth="1" style="50" min="4" max="4"/>
    <col width="54" customWidth="1" style="50" min="5" max="5"/>
    <col width="20" customWidth="1" style="50" min="6" max="6"/>
    <col width="17" customWidth="1" style="50" min="7" max="7"/>
    <col width="11" customWidth="1" style="50" min="8" max="8"/>
    <col width="13" customWidth="1" style="50" min="9" max="9"/>
    <col width="10" customWidth="1" style="50" min="10" max="10"/>
    <col width="13" customWidth="1" style="50" min="11" max="11"/>
    <col width="8" customWidth="1" style="50" min="12" max="13"/>
    <col width="20" customWidth="1" style="50" min="14" max="14"/>
    <col width="11" customWidth="1" style="50" min="15" max="15"/>
    <col width="24" customWidth="1" style="50" min="16" max="16"/>
    <col width="46" customWidth="1" style="50" min="17" max="17"/>
    <col width="13" customWidth="1" style="50" min="18" max="18"/>
    <col width="15" customWidth="1" style="50" min="19" max="19"/>
  </cols>
  <sheetData>
    <row r="1" ht="35.05" customHeight="1" s="51">
      <c r="A1" s="59" t="inlineStr">
        <is>
          <t>ID</t>
        </is>
      </c>
      <c r="B1" s="59" t="inlineStr">
        <is>
          <t>Epic</t>
        </is>
      </c>
      <c r="C1" s="59" t="inlineStr">
        <is>
          <t>Module</t>
        </is>
      </c>
      <c r="D1" s="59" t="inlineStr">
        <is>
          <t>Task</t>
        </is>
      </c>
      <c r="E1" s="59" t="inlineStr">
        <is>
          <t>Description</t>
        </is>
      </c>
      <c r="F1" s="59" t="inlineStr">
        <is>
          <t>Requirement IDs</t>
        </is>
      </c>
      <c r="G1" s="59" t="inlineStr">
        <is>
          <t>Roles Impacted</t>
        </is>
      </c>
      <c r="H1" s="59" t="inlineStr">
        <is>
          <t>Track</t>
        </is>
      </c>
      <c r="I1" s="59" t="inlineStr">
        <is>
          <t>Discipline</t>
        </is>
      </c>
      <c r="J1" s="59" t="inlineStr">
        <is>
          <t>Priority</t>
        </is>
      </c>
      <c r="K1" s="59" t="inlineStr">
        <is>
          <t>Delivery Phase</t>
        </is>
      </c>
      <c r="L1" s="59" t="inlineStr">
        <is>
          <t>Story Points</t>
        </is>
      </c>
      <c r="M1" s="59" t="inlineStr">
        <is>
          <t>Sprint</t>
        </is>
      </c>
      <c r="N1" s="59" t="inlineStr">
        <is>
          <t>Release Band</t>
        </is>
      </c>
      <c r="O1" s="59" t="inlineStr">
        <is>
          <t>Est. Person-Days</t>
        </is>
      </c>
      <c r="P1" s="59" t="inlineStr">
        <is>
          <t>Depends On</t>
        </is>
      </c>
      <c r="Q1" s="59" t="inlineStr">
        <is>
          <t>Acceptance Criteria</t>
        </is>
      </c>
      <c r="R1" s="59" t="inlineStr">
        <is>
          <t>Status</t>
        </is>
      </c>
      <c r="S1" s="59" t="inlineStr">
        <is>
          <t>Owner / Squad</t>
        </is>
      </c>
    </row>
    <row r="2" ht="35.05" customHeight="1" s="51">
      <c r="A2" s="62" t="inlineStr">
        <is>
          <t>NB-001</t>
        </is>
      </c>
      <c r="B2" s="62" t="inlineStr">
        <is>
          <t>E01 Foundation &amp; Architecture</t>
        </is>
      </c>
      <c r="C2" s="62" t="inlineStr">
        <is>
          <t>Architecture</t>
        </is>
      </c>
      <c r="D2" s="62" t="inlineStr">
        <is>
          <t>Define target architecture &amp; ADR set</t>
        </is>
      </c>
      <c r="E2" s="62" t="inlineStr">
        <is>
          <t>Modular monolith + Postgres, region-isolated stacks for India and KSA, event bus for messaging. ADRs for datastore, tenancy, hosting.</t>
        </is>
      </c>
      <c r="F2" s="62" t="inlineStr">
        <is>
          <t>SYS-14,NFR-04</t>
        </is>
      </c>
      <c r="G2" s="62" t="inlineStr">
        <is>
          <t>All</t>
        </is>
      </c>
      <c r="H2" s="62" t="inlineStr">
        <is>
          <t>Shared</t>
        </is>
      </c>
      <c r="I2" s="62" t="inlineStr">
        <is>
          <t>Architecture</t>
        </is>
      </c>
      <c r="J2" s="66" t="inlineStr">
        <is>
          <t>Must</t>
        </is>
      </c>
      <c r="K2" s="66" t="inlineStr">
        <is>
          <t>MVP</t>
        </is>
      </c>
      <c r="L2" s="66" t="n">
        <v>8</v>
      </c>
      <c r="M2" s="66" t="n">
        <v>1</v>
      </c>
      <c r="N2" s="62">
        <f>IF(M2&lt;=4,"R1 Foundation",IF(M2&lt;=8,"R2 Core Clinic",IF(M2&lt;=13,"R3 Revenue &amp; Messaging",IF(M2&lt;=18,"R4 Patient &amp; Platform",IF(M2&lt;=20,"R5 Harden","R6 Launch")))))</f>
        <v/>
      </c>
      <c r="O2" s="67">
        <f>L2*README!$B$32</f>
        <v/>
      </c>
      <c r="P2" s="62" t="n"/>
      <c r="Q2" s="62" t="inlineStr">
        <is>
          <t>ADRs approved; C4 L1/L2 published; region topology signed off</t>
        </is>
      </c>
      <c r="R2" s="62" t="inlineStr">
        <is>
          <t>Not started</t>
        </is>
      </c>
      <c r="S2" s="62" t="n"/>
    </row>
    <row r="3" ht="35.05" customHeight="1" s="51">
      <c r="A3" s="68" t="inlineStr">
        <is>
          <t>NB-002</t>
        </is>
      </c>
      <c r="B3" s="68" t="inlineStr">
        <is>
          <t>E01 Foundation &amp; Architecture</t>
        </is>
      </c>
      <c r="C3" s="68" t="inlineStr">
        <is>
          <t>Architecture</t>
        </is>
      </c>
      <c r="D3" s="68" t="inlineStr">
        <is>
          <t>Multi-tenancy isolation model + irreversible region lock</t>
        </is>
      </c>
      <c r="E3" s="68" t="inlineStr">
        <is>
          <t>Region is chosen at provisioning and locked permanently. No cross-region replication; region-scoped KMS keys.</t>
        </is>
      </c>
      <c r="F3" s="68" t="inlineStr">
        <is>
          <t>SYS-14,NFR-04</t>
        </is>
      </c>
      <c r="G3" s="68" t="inlineStr">
        <is>
          <t>Platform</t>
        </is>
      </c>
      <c r="H3" s="68" t="inlineStr">
        <is>
          <t>Shared</t>
        </is>
      </c>
      <c r="I3" s="68" t="inlineStr">
        <is>
          <t>Architecture</t>
        </is>
      </c>
      <c r="J3" s="69" t="inlineStr">
        <is>
          <t>Must</t>
        </is>
      </c>
      <c r="K3" s="69" t="inlineStr">
        <is>
          <t>MVP</t>
        </is>
      </c>
      <c r="L3" s="69" t="n">
        <v>8</v>
      </c>
      <c r="M3" s="69" t="n">
        <v>1</v>
      </c>
      <c r="N3" s="68">
        <f>IF(M3&lt;=4,"R1 Foundation",IF(M3&lt;=8,"R2 Core Clinic",IF(M3&lt;=13,"R3 Revenue &amp; Messaging",IF(M3&lt;=18,"R4 Patient &amp; Platform",IF(M3&lt;=20,"R5 Harden","R6 Launch")))))</f>
        <v/>
      </c>
      <c r="O3" s="70">
        <f>L3*README!$B$32</f>
        <v/>
      </c>
      <c r="P3" s="68" t="inlineStr">
        <is>
          <t>NB-001</t>
        </is>
      </c>
      <c r="Q3" s="68" t="inlineStr">
        <is>
          <t>PoC proves row-level isolation; region field immutable after provisioning; attempt to change is rejected and audited</t>
        </is>
      </c>
      <c r="R3" s="68" t="inlineStr">
        <is>
          <t>Not started</t>
        </is>
      </c>
      <c r="S3" s="68" t="n"/>
    </row>
    <row r="4" ht="35.05" customHeight="1" s="51">
      <c r="A4" s="62" t="inlineStr">
        <is>
          <t>NB-003</t>
        </is>
      </c>
      <c r="B4" s="62" t="inlineStr">
        <is>
          <t>E01 Foundation &amp; Architecture</t>
        </is>
      </c>
      <c r="C4" s="62" t="inlineStr">
        <is>
          <t>Data</t>
        </is>
      </c>
      <c r="D4" s="62" t="inlineStr">
        <is>
          <t>Core data model &amp; ERD</t>
        </is>
      </c>
      <c r="E4" s="62" t="inlineStr">
        <is>
          <t>Tenant, Clinic, Branch, Staff, Role, Patient, FamilyMember, Encounter, Appointment, Invoice, Package, Prescription, PharmacyItem, ConsentRecord, AuditEvent.</t>
        </is>
      </c>
      <c r="F4" s="62" t="inlineStr">
        <is>
          <t>SYS-13</t>
        </is>
      </c>
      <c r="G4" s="62" t="inlineStr">
        <is>
          <t>All</t>
        </is>
      </c>
      <c r="H4" s="62" t="inlineStr">
        <is>
          <t>Shared</t>
        </is>
      </c>
      <c r="I4" s="62" t="inlineStr">
        <is>
          <t>Backend</t>
        </is>
      </c>
      <c r="J4" s="66" t="inlineStr">
        <is>
          <t>Must</t>
        </is>
      </c>
      <c r="K4" s="66" t="inlineStr">
        <is>
          <t>MVP</t>
        </is>
      </c>
      <c r="L4" s="66" t="n">
        <v>13</v>
      </c>
      <c r="M4" s="66" t="n">
        <v>1</v>
      </c>
      <c r="N4" s="62">
        <f>IF(M4&lt;=4,"R1 Foundation",IF(M4&lt;=8,"R2 Core Clinic",IF(M4&lt;=13,"R3 Revenue &amp; Messaging",IF(M4&lt;=18,"R4 Patient &amp; Platform",IF(M4&lt;=20,"R5 Harden","R6 Launch")))))</f>
        <v/>
      </c>
      <c r="O4" s="67">
        <f>L4*README!$B$32</f>
        <v/>
      </c>
      <c r="P4" s="62" t="inlineStr">
        <is>
          <t>NB-001</t>
        </is>
      </c>
      <c r="Q4" s="62" t="inlineStr">
        <is>
          <t>ERD reviewed; migrations generated; naming conventions documented</t>
        </is>
      </c>
      <c r="R4" s="62" t="inlineStr">
        <is>
          <t>Not started</t>
        </is>
      </c>
      <c r="S4" s="62" t="n"/>
    </row>
    <row r="5" ht="23.85" customHeight="1" s="51">
      <c r="A5" s="68" t="inlineStr">
        <is>
          <t>NB-004</t>
        </is>
      </c>
      <c r="B5" s="68" t="inlineStr">
        <is>
          <t>E01 Foundation &amp; Architecture</t>
        </is>
      </c>
      <c r="C5" s="68" t="inlineStr">
        <is>
          <t>Data</t>
        </is>
      </c>
      <c r="D5" s="68" t="inlineStr">
        <is>
          <t>Database migration framework &amp; seed data</t>
        </is>
      </c>
      <c r="E5" s="68" t="inlineStr">
        <is>
          <t>Versioned reversible migrations; seed tenants for India and KSA demo clinics matching the wireframe fixtures.</t>
        </is>
      </c>
      <c r="F5" s="68" t="n"/>
      <c r="G5" s="68" t="inlineStr">
        <is>
          <t>All</t>
        </is>
      </c>
      <c r="H5" s="68" t="inlineStr">
        <is>
          <t>Shared</t>
        </is>
      </c>
      <c r="I5" s="68" t="inlineStr">
        <is>
          <t>Backend</t>
        </is>
      </c>
      <c r="J5" s="69" t="inlineStr">
        <is>
          <t>Must</t>
        </is>
      </c>
      <c r="K5" s="69" t="inlineStr">
        <is>
          <t>MVP</t>
        </is>
      </c>
      <c r="L5" s="69" t="n">
        <v>3</v>
      </c>
      <c r="M5" s="69" t="n">
        <v>2</v>
      </c>
      <c r="N5" s="68">
        <f>IF(M5&lt;=4,"R1 Foundation",IF(M5&lt;=8,"R2 Core Clinic",IF(M5&lt;=13,"R3 Revenue &amp; Messaging",IF(M5&lt;=18,"R4 Patient &amp; Platform",IF(M5&lt;=20,"R5 Harden","R6 Launch")))))</f>
        <v/>
      </c>
      <c r="O5" s="70">
        <f>L5*README!$B$32</f>
        <v/>
      </c>
      <c r="P5" s="68" t="inlineStr">
        <is>
          <t>NB-003</t>
        </is>
      </c>
      <c r="Q5" s="68" t="inlineStr">
        <is>
          <t>Migrate up/down clean; seeds reproduce wireframe demo data</t>
        </is>
      </c>
      <c r="R5" s="68" t="inlineStr">
        <is>
          <t>Not started</t>
        </is>
      </c>
      <c r="S5" s="68" t="n"/>
    </row>
    <row r="6" ht="23.85" customHeight="1" s="51">
      <c r="A6" s="62" t="inlineStr">
        <is>
          <t>NB-005</t>
        </is>
      </c>
      <c r="B6" s="62" t="inlineStr">
        <is>
          <t>E01 Foundation &amp; Architecture</t>
        </is>
      </c>
      <c r="C6" s="62" t="inlineStr">
        <is>
          <t>API</t>
        </is>
      </c>
      <c r="D6" s="62" t="inlineStr">
        <is>
          <t>API standards, versioning &amp; error contract</t>
        </is>
      </c>
      <c r="E6" s="62" t="inlineStr">
        <is>
          <t>REST /v1, RFC7807 errors, pagination, idempotency keys on every financial and clinical write.</t>
        </is>
      </c>
      <c r="F6" s="62" t="inlineStr">
        <is>
          <t>SYS-06</t>
        </is>
      </c>
      <c r="G6" s="62" t="inlineStr">
        <is>
          <t>All</t>
        </is>
      </c>
      <c r="H6" s="62" t="inlineStr">
        <is>
          <t>Shared</t>
        </is>
      </c>
      <c r="I6" s="62" t="inlineStr">
        <is>
          <t>Backend</t>
        </is>
      </c>
      <c r="J6" s="66" t="inlineStr">
        <is>
          <t>Must</t>
        </is>
      </c>
      <c r="K6" s="66" t="inlineStr">
        <is>
          <t>MVP</t>
        </is>
      </c>
      <c r="L6" s="66" t="n">
        <v>5</v>
      </c>
      <c r="M6" s="66" t="n">
        <v>2</v>
      </c>
      <c r="N6" s="62">
        <f>IF(M6&lt;=4,"R1 Foundation",IF(M6&lt;=8,"R2 Core Clinic",IF(M6&lt;=13,"R3 Revenue &amp; Messaging",IF(M6&lt;=18,"R4 Patient &amp; Platform",IF(M6&lt;=20,"R5 Harden","R6 Launch")))))</f>
        <v/>
      </c>
      <c r="O6" s="67">
        <f>L6*README!$B$32</f>
        <v/>
      </c>
      <c r="P6" s="62" t="inlineStr">
        <is>
          <t>NB-001</t>
        </is>
      </c>
      <c r="Q6" s="62" t="inlineStr">
        <is>
          <t>OpenAPI published; CI linter enforces the standard</t>
        </is>
      </c>
      <c r="R6" s="62" t="inlineStr">
        <is>
          <t>Not started</t>
        </is>
      </c>
      <c r="S6" s="62" t="n"/>
    </row>
    <row r="7" ht="23.85" customHeight="1" s="51">
      <c r="A7" s="68" t="inlineStr">
        <is>
          <t>NB-006</t>
        </is>
      </c>
      <c r="B7" s="68" t="inlineStr">
        <is>
          <t>E01 Foundation &amp; Architecture</t>
        </is>
      </c>
      <c r="C7" s="68" t="inlineStr">
        <is>
          <t>API</t>
        </is>
      </c>
      <c r="D7" s="68" t="inlineStr">
        <is>
          <t>API gateway &amp; per-role BFF layer</t>
        </is>
      </c>
      <c r="E7" s="68" t="inlineStr">
        <is>
          <t>Single entry point; role-shaped payloads so the mobile queue screen stays small.</t>
        </is>
      </c>
      <c r="F7" s="68" t="inlineStr">
        <is>
          <t>NFR-02</t>
        </is>
      </c>
      <c r="G7" s="68" t="inlineStr">
        <is>
          <t>All</t>
        </is>
      </c>
      <c r="H7" s="68" t="inlineStr">
        <is>
          <t>Shared</t>
        </is>
      </c>
      <c r="I7" s="68" t="inlineStr">
        <is>
          <t>Backend</t>
        </is>
      </c>
      <c r="J7" s="69" t="inlineStr">
        <is>
          <t>Should</t>
        </is>
      </c>
      <c r="K7" s="69" t="inlineStr">
        <is>
          <t>MVP</t>
        </is>
      </c>
      <c r="L7" s="69" t="n">
        <v>5</v>
      </c>
      <c r="M7" s="69" t="n">
        <v>3</v>
      </c>
      <c r="N7" s="68">
        <f>IF(M7&lt;=4,"R1 Foundation",IF(M7&lt;=8,"R2 Core Clinic",IF(M7&lt;=13,"R3 Revenue &amp; Messaging",IF(M7&lt;=18,"R4 Patient &amp; Platform",IF(M7&lt;=20,"R5 Harden","R6 Launch")))))</f>
        <v/>
      </c>
      <c r="O7" s="70">
        <f>L7*README!$B$32</f>
        <v/>
      </c>
      <c r="P7" s="68" t="inlineStr">
        <is>
          <t>NB-005</t>
        </is>
      </c>
      <c r="Q7" s="68" t="inlineStr">
        <is>
          <t>p95 payload under 150KB on the queue screen</t>
        </is>
      </c>
      <c r="R7" s="68" t="inlineStr">
        <is>
          <t>Not started</t>
        </is>
      </c>
      <c r="S7" s="68" t="n"/>
    </row>
    <row r="8" ht="23.85" customHeight="1" s="51">
      <c r="A8" s="62" t="inlineStr">
        <is>
          <t>NB-007</t>
        </is>
      </c>
      <c r="B8" s="62" t="inlineStr">
        <is>
          <t>E01 Foundation &amp; Architecture</t>
        </is>
      </c>
      <c r="C8" s="62" t="inlineStr">
        <is>
          <t>Platform</t>
        </is>
      </c>
      <c r="D8" s="62" t="inlineStr">
        <is>
          <t>Event bus &amp; transactional outbox</t>
        </is>
      </c>
      <c r="E8" s="62" t="inlineStr">
        <is>
          <t>No clinical, billing or messaging event may be lost. Drives WhatsApp, SMS, recall and webhooks.</t>
        </is>
      </c>
      <c r="F8" s="62" t="inlineStr">
        <is>
          <t>SYS-01,NFR-12</t>
        </is>
      </c>
      <c r="G8" s="62" t="inlineStr">
        <is>
          <t>All</t>
        </is>
      </c>
      <c r="H8" s="62" t="inlineStr">
        <is>
          <t>Shared</t>
        </is>
      </c>
      <c r="I8" s="62" t="inlineStr">
        <is>
          <t>Backend</t>
        </is>
      </c>
      <c r="J8" s="66" t="inlineStr">
        <is>
          <t>Must</t>
        </is>
      </c>
      <c r="K8" s="66" t="inlineStr">
        <is>
          <t>MVP</t>
        </is>
      </c>
      <c r="L8" s="66" t="n">
        <v>8</v>
      </c>
      <c r="M8" s="66" t="n">
        <v>3</v>
      </c>
      <c r="N8" s="62">
        <f>IF(M8&lt;=4,"R1 Foundation",IF(M8&lt;=8,"R2 Core Clinic",IF(M8&lt;=13,"R3 Revenue &amp; Messaging",IF(M8&lt;=18,"R4 Patient &amp; Platform",IF(M8&lt;=20,"R5 Harden","R6 Launch")))))</f>
        <v/>
      </c>
      <c r="O8" s="67">
        <f>L8*README!$B$32</f>
        <v/>
      </c>
      <c r="P8" s="62" t="inlineStr">
        <is>
          <t>NB-003, NB-005</t>
        </is>
      </c>
      <c r="Q8" s="62" t="inlineStr">
        <is>
          <t>Zero message loss under forced consumer failure</t>
        </is>
      </c>
      <c r="R8" s="62" t="inlineStr">
        <is>
          <t>Not started</t>
        </is>
      </c>
      <c r="S8" s="62" t="n"/>
    </row>
    <row r="9" ht="23.85" customHeight="1" s="51">
      <c r="A9" s="68" t="inlineStr">
        <is>
          <t>NB-008</t>
        </is>
      </c>
      <c r="B9" s="68" t="inlineStr">
        <is>
          <t>E01 Foundation &amp; Architecture</t>
        </is>
      </c>
      <c r="C9" s="68" t="inlineStr">
        <is>
          <t>Platform</t>
        </is>
      </c>
      <c r="D9" s="68" t="inlineStr">
        <is>
          <t>Feature-flag &amp; module-entitlement service</t>
        </is>
      </c>
      <c r="E9" s="68" t="inlineStr">
        <is>
          <t>Drives Included / Trial / Paid add-on / Upgrade required / Disabled-by-clinic / Disabled-by-platform states.</t>
        </is>
      </c>
      <c r="F9" s="68" t="inlineStr">
        <is>
          <t>SYS-20,CAD-13</t>
        </is>
      </c>
      <c r="G9" s="68" t="inlineStr">
        <is>
          <t>Owner,Platform</t>
        </is>
      </c>
      <c r="H9" s="68" t="inlineStr">
        <is>
          <t>Shared</t>
        </is>
      </c>
      <c r="I9" s="68" t="inlineStr">
        <is>
          <t>Backend</t>
        </is>
      </c>
      <c r="J9" s="69" t="inlineStr">
        <is>
          <t>Must</t>
        </is>
      </c>
      <c r="K9" s="69" t="inlineStr">
        <is>
          <t>MVP</t>
        </is>
      </c>
      <c r="L9" s="69" t="n">
        <v>8</v>
      </c>
      <c r="M9" s="69" t="n">
        <v>3</v>
      </c>
      <c r="N9" s="68">
        <f>IF(M9&lt;=4,"R1 Foundation",IF(M9&lt;=8,"R2 Core Clinic",IF(M9&lt;=13,"R3 Revenue &amp; Messaging",IF(M9&lt;=18,"R4 Patient &amp; Platform",IF(M9&lt;=20,"R5 Harden","R6 Launch")))))</f>
        <v/>
      </c>
      <c r="O9" s="70">
        <f>L9*README!$B$32</f>
        <v/>
      </c>
      <c r="P9" s="68" t="inlineStr">
        <is>
          <t>NB-001, NB-002</t>
        </is>
      </c>
      <c r="Q9" s="68" t="inlineStr">
        <is>
          <t>Entitlement change propagates in under 60s; upgrade/downgrade under 5 minutes with no data loss</t>
        </is>
      </c>
      <c r="R9" s="68" t="inlineStr">
        <is>
          <t>Not started</t>
        </is>
      </c>
      <c r="S9" s="68" t="n"/>
    </row>
    <row r="10" ht="23.85" customHeight="1" s="51">
      <c r="A10" s="62" t="inlineStr">
        <is>
          <t>NB-009</t>
        </is>
      </c>
      <c r="B10" s="62" t="inlineStr">
        <is>
          <t>E01 Foundation &amp; Architecture</t>
        </is>
      </c>
      <c r="C10" s="62" t="inlineStr">
        <is>
          <t>Platform</t>
        </is>
      </c>
      <c r="D10" s="62" t="inlineStr">
        <is>
          <t>Config &amp; secrets management with role separation</t>
        </is>
      </c>
      <c r="E10" s="62" t="inlineStr">
        <is>
          <t>Installation secrets are separate from tenant integration secrets — two different operator roles.</t>
        </is>
      </c>
      <c r="F10" s="62" t="inlineStr">
        <is>
          <t>SYS-14</t>
        </is>
      </c>
      <c r="G10" s="62" t="inlineStr">
        <is>
          <t>All</t>
        </is>
      </c>
      <c r="H10" s="62" t="inlineStr">
        <is>
          <t>Shared</t>
        </is>
      </c>
      <c r="I10" s="62" t="inlineStr">
        <is>
          <t>DevOps</t>
        </is>
      </c>
      <c r="J10" s="66" t="inlineStr">
        <is>
          <t>Must</t>
        </is>
      </c>
      <c r="K10" s="66" t="inlineStr">
        <is>
          <t>MVP</t>
        </is>
      </c>
      <c r="L10" s="66" t="n">
        <v>5</v>
      </c>
      <c r="M10" s="66" t="n">
        <v>2</v>
      </c>
      <c r="N10" s="62">
        <f>IF(M10&lt;=4,"R1 Foundation",IF(M10&lt;=8,"R2 Core Clinic",IF(M10&lt;=13,"R3 Revenue &amp; Messaging",IF(M10&lt;=18,"R4 Patient &amp; Platform",IF(M10&lt;=20,"R5 Harden","R6 Launch")))))</f>
        <v/>
      </c>
      <c r="O10" s="67">
        <f>L10*README!$B$32</f>
        <v/>
      </c>
      <c r="P10" s="62" t="inlineStr">
        <is>
          <t>NB-299</t>
        </is>
      </c>
      <c r="Q10" s="62" t="inlineStr">
        <is>
          <t>Secret scan clean; installation and tenant secrets held in separate scopes with separate access</t>
        </is>
      </c>
      <c r="R10" s="62" t="inlineStr">
        <is>
          <t>Not started</t>
        </is>
      </c>
      <c r="S10" s="62" t="n"/>
    </row>
    <row r="11" ht="35.05" customHeight="1" s="51">
      <c r="A11" s="68" t="inlineStr">
        <is>
          <t>NB-010</t>
        </is>
      </c>
      <c r="B11" s="68" t="inlineStr">
        <is>
          <t>E01 Foundation &amp; Architecture</t>
        </is>
      </c>
      <c r="C11" s="68" t="inlineStr">
        <is>
          <t>Data</t>
        </is>
      </c>
      <c r="D11" s="68" t="inlineStr">
        <is>
          <t>Reference data service</t>
        </is>
      </c>
      <c r="E11" s="68" t="inlineStr">
        <is>
          <t>ICD-10 subset, drug master (India NMC generics + KSA SFDA identifiers), charge catalogue, GST/VAT rate tables, vaccine schedules.</t>
        </is>
      </c>
      <c r="F11" s="68" t="inlineStr">
        <is>
          <t>GP-05,DOC-06</t>
        </is>
      </c>
      <c r="G11" s="68" t="inlineStr">
        <is>
          <t>Doctor,Reception</t>
        </is>
      </c>
      <c r="H11" s="68" t="inlineStr">
        <is>
          <t>Shared</t>
        </is>
      </c>
      <c r="I11" s="68" t="inlineStr">
        <is>
          <t>Backend</t>
        </is>
      </c>
      <c r="J11" s="69" t="inlineStr">
        <is>
          <t>Must</t>
        </is>
      </c>
      <c r="K11" s="69" t="inlineStr">
        <is>
          <t>MVP</t>
        </is>
      </c>
      <c r="L11" s="69" t="n">
        <v>8</v>
      </c>
      <c r="M11" s="69" t="n">
        <v>4</v>
      </c>
      <c r="N11" s="68">
        <f>IF(M11&lt;=4,"R1 Foundation",IF(M11&lt;=8,"R2 Core Clinic",IF(M11&lt;=13,"R3 Revenue &amp; Messaging",IF(M11&lt;=18,"R4 Patient &amp; Platform",IF(M11&lt;=20,"R5 Harden","R6 Launch")))))</f>
        <v/>
      </c>
      <c r="O11" s="70">
        <f>L11*README!$B$32</f>
        <v/>
      </c>
      <c r="P11" s="68" t="inlineStr">
        <is>
          <t>NB-003</t>
        </is>
      </c>
      <c r="Q11" s="68" t="inlineStr">
        <is>
          <t>Catalogue seeded; rates and drug lists versioned by effective date</t>
        </is>
      </c>
      <c r="R11" s="68" t="inlineStr">
        <is>
          <t>Not started</t>
        </is>
      </c>
      <c r="S11" s="68" t="n"/>
    </row>
    <row r="12" ht="23.85" customHeight="1" s="51">
      <c r="A12" s="62" t="inlineStr">
        <is>
          <t>NB-011</t>
        </is>
      </c>
      <c r="B12" s="62" t="inlineStr">
        <is>
          <t>E01 Foundation &amp; Architecture</t>
        </is>
      </c>
      <c r="C12" s="62" t="inlineStr">
        <is>
          <t>Platform</t>
        </is>
      </c>
      <c r="D12" s="62" t="inlineStr">
        <is>
          <t>Shared reason-code service</t>
        </is>
      </c>
      <c r="E12" s="62" t="inlineStr">
        <is>
          <t>One shared reason list reused by cancellation, reschedule, block, override and refusal flows.</t>
        </is>
      </c>
      <c r="F12" s="62" t="inlineStr">
        <is>
          <t>SYS-07</t>
        </is>
      </c>
      <c r="G12" s="62" t="inlineStr">
        <is>
          <t>All</t>
        </is>
      </c>
      <c r="H12" s="62" t="inlineStr">
        <is>
          <t>Shared</t>
        </is>
      </c>
      <c r="I12" s="62" t="inlineStr">
        <is>
          <t>Backend</t>
        </is>
      </c>
      <c r="J12" s="66" t="inlineStr">
        <is>
          <t>Must</t>
        </is>
      </c>
      <c r="K12" s="66" t="inlineStr">
        <is>
          <t>MVP</t>
        </is>
      </c>
      <c r="L12" s="66" t="n">
        <v>3</v>
      </c>
      <c r="M12" s="66" t="n">
        <v>4</v>
      </c>
      <c r="N12" s="62">
        <f>IF(M12&lt;=4,"R1 Foundation",IF(M12&lt;=8,"R2 Core Clinic",IF(M12&lt;=13,"R3 Revenue &amp; Messaging",IF(M12&lt;=18,"R4 Patient &amp; Platform",IF(M12&lt;=20,"R5 Harden","R6 Launch")))))</f>
        <v/>
      </c>
      <c r="O12" s="67">
        <f>L12*README!$B$32</f>
        <v/>
      </c>
      <c r="P12" s="62" t="inlineStr">
        <is>
          <t>NB-003</t>
        </is>
      </c>
      <c r="Q12" s="62" t="inlineStr">
        <is>
          <t>Every reason-capture surface reads from this service; reasons are configurable per tenant</t>
        </is>
      </c>
      <c r="R12" s="62" t="inlineStr">
        <is>
          <t>Not started</t>
        </is>
      </c>
      <c r="S12" s="62" t="n"/>
    </row>
    <row r="13" ht="23.85" customHeight="1" s="51">
      <c r="A13" s="68" t="inlineStr">
        <is>
          <t>NB-012</t>
        </is>
      </c>
      <c r="B13" s="68" t="inlineStr">
        <is>
          <t>E02 Design System &amp; UI Kit</t>
        </is>
      </c>
      <c r="C13" s="68" t="inlineStr">
        <is>
          <t>Design System</t>
        </is>
      </c>
      <c r="D13" s="68" t="inlineStr">
        <is>
          <t>Tokenise DESIGN.md into a theme package</t>
        </is>
      </c>
      <c r="E13" s="68" t="inlineStr">
        <is>
          <t>All --nb-* colour, spacing, radius, elevation and motion tokens as a shared package.</t>
        </is>
      </c>
      <c r="F13" s="68" t="n"/>
      <c r="G13" s="68" t="inlineStr">
        <is>
          <t>All</t>
        </is>
      </c>
      <c r="H13" s="68" t="inlineStr">
        <is>
          <t>Shared</t>
        </is>
      </c>
      <c r="I13" s="68" t="inlineStr">
        <is>
          <t>Frontend</t>
        </is>
      </c>
      <c r="J13" s="69" t="inlineStr">
        <is>
          <t>Must</t>
        </is>
      </c>
      <c r="K13" s="69" t="inlineStr">
        <is>
          <t>MVP</t>
        </is>
      </c>
      <c r="L13" s="69" t="n">
        <v>5</v>
      </c>
      <c r="M13" s="69" t="n">
        <v>1</v>
      </c>
      <c r="N13" s="68">
        <f>IF(M13&lt;=4,"R1 Foundation",IF(M13&lt;=8,"R2 Core Clinic",IF(M13&lt;=13,"R3 Revenue &amp; Messaging",IF(M13&lt;=18,"R4 Patient &amp; Platform",IF(M13&lt;=20,"R5 Harden","R6 Launch")))))</f>
        <v/>
      </c>
      <c r="O13" s="70">
        <f>L13*README!$B$32</f>
        <v/>
      </c>
      <c r="P13" s="68" t="n"/>
      <c r="Q13" s="68" t="inlineStr">
        <is>
          <t>Token package published; visual diff vs wireframe under 2px</t>
        </is>
      </c>
      <c r="R13" s="68" t="inlineStr">
        <is>
          <t>Not started</t>
        </is>
      </c>
      <c r="S13" s="68" t="n"/>
    </row>
    <row r="14" ht="23.85" customHeight="1" s="51">
      <c r="A14" s="62" t="inlineStr">
        <is>
          <t>NB-013</t>
        </is>
      </c>
      <c r="B14" s="62" t="inlineStr">
        <is>
          <t>E02 Design System &amp; UI Kit</t>
        </is>
      </c>
      <c r="C14" s="62" t="inlineStr">
        <is>
          <t>Design System</t>
        </is>
      </c>
      <c r="D14" s="62" t="inlineStr">
        <is>
          <t>Core controls — button, input, select, segmented, chip</t>
        </is>
      </c>
      <c r="E14" s="62" t="inlineStr">
        <is>
          <t>Per DESIGN.md 8.1-8.4 with every rest/hover/active/focus/disabled/loading state.</t>
        </is>
      </c>
      <c r="F14" s="62" t="n"/>
      <c r="G14" s="62" t="inlineStr">
        <is>
          <t>All</t>
        </is>
      </c>
      <c r="H14" s="62" t="inlineStr">
        <is>
          <t>Shared</t>
        </is>
      </c>
      <c r="I14" s="62" t="inlineStr">
        <is>
          <t>Frontend</t>
        </is>
      </c>
      <c r="J14" s="66" t="inlineStr">
        <is>
          <t>Must</t>
        </is>
      </c>
      <c r="K14" s="66" t="inlineStr">
        <is>
          <t>MVP</t>
        </is>
      </c>
      <c r="L14" s="66" t="n">
        <v>8</v>
      </c>
      <c r="M14" s="66" t="n">
        <v>2</v>
      </c>
      <c r="N14" s="62">
        <f>IF(M14&lt;=4,"R1 Foundation",IF(M14&lt;=8,"R2 Core Clinic",IF(M14&lt;=13,"R3 Revenue &amp; Messaging",IF(M14&lt;=18,"R4 Patient &amp; Platform",IF(M14&lt;=20,"R5 Harden","R6 Launch")))))</f>
        <v/>
      </c>
      <c r="O14" s="67">
        <f>L14*README!$B$32</f>
        <v/>
      </c>
      <c r="P14" s="62" t="inlineStr">
        <is>
          <t>NB-012</t>
        </is>
      </c>
      <c r="Q14" s="62" t="inlineStr">
        <is>
          <t>Storybook covers every state; a11y checks pass</t>
        </is>
      </c>
      <c r="R14" s="62" t="inlineStr">
        <is>
          <t>Not started</t>
        </is>
      </c>
      <c r="S14" s="62" t="n"/>
    </row>
    <row r="15" ht="23.85" customHeight="1" s="51">
      <c r="A15" s="68" t="inlineStr">
        <is>
          <t>NB-014</t>
        </is>
      </c>
      <c r="B15" s="68" t="inlineStr">
        <is>
          <t>E02 Design System &amp; UI Kit</t>
        </is>
      </c>
      <c r="C15" s="68" t="inlineStr">
        <is>
          <t>Design System</t>
        </is>
      </c>
      <c r="D15" s="68" t="inlineStr">
        <is>
          <t>Containers — card, table, mobile list row, drawer, modal, bottom sheet</t>
        </is>
      </c>
      <c r="E15" s="68" t="inlineStr">
        <is>
          <t>Per 8.5-8.13 including the sub-768px table-to-card replacement.</t>
        </is>
      </c>
      <c r="F15" s="68" t="n"/>
      <c r="G15" s="68" t="inlineStr">
        <is>
          <t>All</t>
        </is>
      </c>
      <c r="H15" s="68" t="inlineStr">
        <is>
          <t>Shared</t>
        </is>
      </c>
      <c r="I15" s="68" t="inlineStr">
        <is>
          <t>Frontend</t>
        </is>
      </c>
      <c r="J15" s="69" t="inlineStr">
        <is>
          <t>Must</t>
        </is>
      </c>
      <c r="K15" s="69" t="inlineStr">
        <is>
          <t>MVP</t>
        </is>
      </c>
      <c r="L15" s="69" t="n">
        <v>8</v>
      </c>
      <c r="M15" s="69" t="n">
        <v>2</v>
      </c>
      <c r="N15" s="68">
        <f>IF(M15&lt;=4,"R1 Foundation",IF(M15&lt;=8,"R2 Core Clinic",IF(M15&lt;=13,"R3 Revenue &amp; Messaging",IF(M15&lt;=18,"R4 Patient &amp; Platform",IF(M15&lt;=20,"R5 Harden","R6 Launch")))))</f>
        <v/>
      </c>
      <c r="O15" s="70">
        <f>L15*README!$B$32</f>
        <v/>
      </c>
      <c r="P15" s="68" t="inlineStr">
        <is>
          <t>NB-012</t>
        </is>
      </c>
      <c r="Q15" s="68" t="inlineStr">
        <is>
          <t>Responsive switch verified at 767/768px; focus trap correct</t>
        </is>
      </c>
      <c r="R15" s="68" t="inlineStr">
        <is>
          <t>Not started</t>
        </is>
      </c>
      <c r="S15" s="68" t="n"/>
    </row>
    <row r="16" ht="23.85" customHeight="1" s="51">
      <c r="A16" s="62" t="inlineStr">
        <is>
          <t>NB-015</t>
        </is>
      </c>
      <c r="B16" s="62" t="inlineStr">
        <is>
          <t>E02 Design System &amp; UI Kit</t>
        </is>
      </c>
      <c r="C16" s="62" t="inlineStr">
        <is>
          <t>Design System</t>
        </is>
      </c>
      <c r="D16" s="62" t="inlineStr">
        <is>
          <t>Clinical state system — pill, badge, critical shape cue</t>
        </is>
      </c>
      <c r="E16" s="62" t="inlineStr">
        <is>
          <t>Nine states, each hue + icon + text; critical adds a shape cue and a 3px left bar.</t>
        </is>
      </c>
      <c r="F16" s="62" t="n"/>
      <c r="G16" s="62" t="inlineStr">
        <is>
          <t>All</t>
        </is>
      </c>
      <c r="H16" s="62" t="inlineStr">
        <is>
          <t>Shared</t>
        </is>
      </c>
      <c r="I16" s="62" t="inlineStr">
        <is>
          <t>Frontend</t>
        </is>
      </c>
      <c r="J16" s="66" t="inlineStr">
        <is>
          <t>Must</t>
        </is>
      </c>
      <c r="K16" s="66" t="inlineStr">
        <is>
          <t>MVP</t>
        </is>
      </c>
      <c r="L16" s="66" t="n">
        <v>5</v>
      </c>
      <c r="M16" s="66" t="n">
        <v>3</v>
      </c>
      <c r="N16" s="62">
        <f>IF(M16&lt;=4,"R1 Foundation",IF(M16&lt;=8,"R2 Core Clinic",IF(M16&lt;=13,"R3 Revenue &amp; Messaging",IF(M16&lt;=18,"R4 Patient &amp; Platform",IF(M16&lt;=20,"R5 Harden","R6 Launch")))))</f>
        <v/>
      </c>
      <c r="O16" s="67">
        <f>L16*README!$B$32</f>
        <v/>
      </c>
      <c r="P16" s="62" t="inlineStr">
        <is>
          <t>NB-012</t>
        </is>
      </c>
      <c r="Q16" s="62" t="inlineStr">
        <is>
          <t>Colour-blind simulation review passed; no hue-only state anywhere</t>
        </is>
      </c>
      <c r="R16" s="62" t="inlineStr">
        <is>
          <t>Not started</t>
        </is>
      </c>
      <c r="S16" s="62" t="n"/>
    </row>
    <row r="17" ht="23.85" customHeight="1" s="51">
      <c r="A17" s="68" t="inlineStr">
        <is>
          <t>NB-016</t>
        </is>
      </c>
      <c r="B17" s="68" t="inlineStr">
        <is>
          <t>E02 Design System &amp; UI Kit</t>
        </is>
      </c>
      <c r="C17" s="68" t="inlineStr">
        <is>
          <t>Design System</t>
        </is>
      </c>
      <c r="D17" s="68" t="inlineStr">
        <is>
          <t>Icon sprite &amp; illustration tier</t>
        </is>
      </c>
      <c r="E17" s="68" t="inlineStr">
        <is>
          <t>Single monoline family at stroke 1.75; 3D illustration set reserved for empty and success states only.</t>
        </is>
      </c>
      <c r="F17" s="68" t="n"/>
      <c r="G17" s="68" t="inlineStr">
        <is>
          <t>All</t>
        </is>
      </c>
      <c r="H17" s="68" t="inlineStr">
        <is>
          <t>Shared</t>
        </is>
      </c>
      <c r="I17" s="68" t="inlineStr">
        <is>
          <t>Frontend</t>
        </is>
      </c>
      <c r="J17" s="69" t="inlineStr">
        <is>
          <t>Must</t>
        </is>
      </c>
      <c r="K17" s="69" t="inlineStr">
        <is>
          <t>MVP</t>
        </is>
      </c>
      <c r="L17" s="69" t="n">
        <v>3</v>
      </c>
      <c r="M17" s="69" t="n">
        <v>2</v>
      </c>
      <c r="N17" s="68">
        <f>IF(M17&lt;=4,"R1 Foundation",IF(M17&lt;=8,"R2 Core Clinic",IF(M17&lt;=13,"R3 Revenue &amp; Messaging",IF(M17&lt;=18,"R4 Patient &amp; Platform",IF(M17&lt;=20,"R5 Harden","R6 Launch")))))</f>
        <v/>
      </c>
      <c r="O17" s="70">
        <f>L17*README!$B$32</f>
        <v/>
      </c>
      <c r="P17" s="68" t="inlineStr">
        <is>
          <t>NB-012</t>
        </is>
      </c>
      <c r="Q17" s="68" t="inlineStr">
        <is>
          <t>Sprite built from the wireframe symbols; lint blocks a second UI icon family</t>
        </is>
      </c>
      <c r="R17" s="68" t="inlineStr">
        <is>
          <t>Not started</t>
        </is>
      </c>
      <c r="S17" s="68" t="n"/>
    </row>
    <row r="18" ht="23.85" customHeight="1" s="51">
      <c r="A18" s="62" t="inlineStr">
        <is>
          <t>NB-017</t>
        </is>
      </c>
      <c r="B18" s="62" t="inlineStr">
        <is>
          <t>E02 Design System &amp; UI Kit</t>
        </is>
      </c>
      <c r="C18" s="62" t="inlineStr">
        <is>
          <t>Design System</t>
        </is>
      </c>
      <c r="D18" s="62" t="inlineStr">
        <is>
          <t>App shell — sidebar, sectioned nav, rail, top bar, bottom nav</t>
        </is>
      </c>
      <c r="E18" s="62" t="inlineStr">
        <is>
          <t>248px sidebar / 72px collapsed / 88px rail / 64px bottom nav, with section grouping for the platform console.</t>
        </is>
      </c>
      <c r="F18" s="62" t="inlineStr">
        <is>
          <t>SSA-02</t>
        </is>
      </c>
      <c r="G18" s="62" t="inlineStr">
        <is>
          <t>All</t>
        </is>
      </c>
      <c r="H18" s="62" t="inlineStr">
        <is>
          <t>Shared</t>
        </is>
      </c>
      <c r="I18" s="62" t="inlineStr">
        <is>
          <t>Frontend</t>
        </is>
      </c>
      <c r="J18" s="66" t="inlineStr">
        <is>
          <t>Must</t>
        </is>
      </c>
      <c r="K18" s="66" t="inlineStr">
        <is>
          <t>MVP</t>
        </is>
      </c>
      <c r="L18" s="66" t="n">
        <v>8</v>
      </c>
      <c r="M18" s="66" t="n">
        <v>3</v>
      </c>
      <c r="N18" s="62">
        <f>IF(M18&lt;=4,"R1 Foundation",IF(M18&lt;=8,"R2 Core Clinic",IF(M18&lt;=13,"R3 Revenue &amp; Messaging",IF(M18&lt;=18,"R4 Patient &amp; Platform",IF(M18&lt;=20,"R5 Harden","R6 Launch")))))</f>
        <v/>
      </c>
      <c r="O18" s="67">
        <f>L18*README!$B$32</f>
        <v/>
      </c>
      <c r="P18" s="62" t="inlineStr">
        <is>
          <t>NB-014, NB-013</t>
        </is>
      </c>
      <c r="Q18" s="62" t="inlineStr">
        <is>
          <t>Shell renders at all four breakpoints; nav sections group correctly</t>
        </is>
      </c>
      <c r="R18" s="62" t="inlineStr">
        <is>
          <t>Not started</t>
        </is>
      </c>
      <c r="S18" s="62" t="n"/>
    </row>
    <row r="19" ht="35.05" customHeight="1" s="51">
      <c r="A19" s="68" t="inlineStr">
        <is>
          <t>NB-018</t>
        </is>
      </c>
      <c r="B19" s="68" t="inlineStr">
        <is>
          <t>E02 Design System &amp; UI Kit</t>
        </is>
      </c>
      <c r="C19" s="68" t="inlineStr">
        <is>
          <t>Design System</t>
        </is>
      </c>
      <c r="D19" s="68" t="inlineStr">
        <is>
          <t>Messaging component set</t>
        </is>
      </c>
      <c r="E19" s="68" t="inlineStr">
        <is>
          <t>Message bubble, template card with variable-only editing, interactive reply set, conversation row, delivery-state chip, session-window indicator (8.16-8.21).</t>
        </is>
      </c>
      <c r="F19" s="68" t="inlineStr">
        <is>
          <t>RCP-11,CMP-07</t>
        </is>
      </c>
      <c r="G19" s="68" t="inlineStr">
        <is>
          <t>All</t>
        </is>
      </c>
      <c r="H19" s="68" t="inlineStr">
        <is>
          <t>Shared</t>
        </is>
      </c>
      <c r="I19" s="68" t="inlineStr">
        <is>
          <t>Frontend</t>
        </is>
      </c>
      <c r="J19" s="69" t="inlineStr">
        <is>
          <t>Must</t>
        </is>
      </c>
      <c r="K19" s="69" t="inlineStr">
        <is>
          <t>MVP</t>
        </is>
      </c>
      <c r="L19" s="69" t="n">
        <v>8</v>
      </c>
      <c r="M19" s="69" t="n">
        <v>6</v>
      </c>
      <c r="N19" s="68">
        <f>IF(M19&lt;=4,"R1 Foundation",IF(M19&lt;=8,"R2 Core Clinic",IF(M19&lt;=13,"R3 Revenue &amp; Messaging",IF(M19&lt;=18,"R4 Patient &amp; Platform",IF(M19&lt;=20,"R5 Harden","R6 Launch")))))</f>
        <v/>
      </c>
      <c r="O19" s="70">
        <f>L19*README!$B$32</f>
        <v/>
      </c>
      <c r="P19" s="68" t="inlineStr">
        <is>
          <t>NB-013, NB-014</t>
        </is>
      </c>
      <c r="Q19" s="68" t="inlineStr">
        <is>
          <t>Template card makes fixed text physically uneditable; session indicator gates the composer</t>
        </is>
      </c>
      <c r="R19" s="68" t="inlineStr">
        <is>
          <t>Not started</t>
        </is>
      </c>
      <c r="S19" s="68" t="n"/>
    </row>
    <row r="20" ht="23.85" customHeight="1" s="51">
      <c r="A20" s="62" t="inlineStr">
        <is>
          <t>NB-019</t>
        </is>
      </c>
      <c r="B20" s="62" t="inlineStr">
        <is>
          <t>E02 Design System &amp; UI Kit</t>
        </is>
      </c>
      <c r="C20" s="62" t="inlineStr">
        <is>
          <t>Design System</t>
        </is>
      </c>
      <c r="D20" s="62" t="inlineStr">
        <is>
          <t>Command palette (Cmd/Ctrl-K)</t>
        </is>
      </c>
      <c r="E20" s="62" t="inlineStr">
        <is>
          <t>Grouped, role-scoped results. Platform console searches clinics, tickets, invoices and provisioning jobs.</t>
        </is>
      </c>
      <c r="F20" s="62" t="n"/>
      <c r="G20" s="62" t="inlineStr">
        <is>
          <t>All</t>
        </is>
      </c>
      <c r="H20" s="62" t="inlineStr">
        <is>
          <t>Shared</t>
        </is>
      </c>
      <c r="I20" s="62" t="inlineStr">
        <is>
          <t>Frontend</t>
        </is>
      </c>
      <c r="J20" s="66" t="inlineStr">
        <is>
          <t>Should</t>
        </is>
      </c>
      <c r="K20" s="66" t="inlineStr">
        <is>
          <t>MVP</t>
        </is>
      </c>
      <c r="L20" s="66" t="n">
        <v>5</v>
      </c>
      <c r="M20" s="66" t="n">
        <v>8</v>
      </c>
      <c r="N20" s="62">
        <f>IF(M20&lt;=4,"R1 Foundation",IF(M20&lt;=8,"R2 Core Clinic",IF(M20&lt;=13,"R3 Revenue &amp; Messaging",IF(M20&lt;=18,"R4 Patient &amp; Platform",IF(M20&lt;=20,"R5 Harden","R6 Launch")))))</f>
        <v/>
      </c>
      <c r="O20" s="67">
        <f>L20*README!$B$32</f>
        <v/>
      </c>
      <c r="P20" s="62" t="inlineStr">
        <is>
          <t>NB-017</t>
        </is>
      </c>
      <c r="Q20" s="62" t="inlineStr">
        <is>
          <t>Only permitted entities appear for the signed-in role</t>
        </is>
      </c>
      <c r="R20" s="62" t="inlineStr">
        <is>
          <t>Not started</t>
        </is>
      </c>
      <c r="S20" s="62" t="n"/>
    </row>
    <row r="21" ht="23.85" customHeight="1" s="51">
      <c r="A21" s="68" t="inlineStr">
        <is>
          <t>NB-020</t>
        </is>
      </c>
      <c r="B21" s="68" t="inlineStr">
        <is>
          <t>E02 Design System &amp; UI Kit</t>
        </is>
      </c>
      <c r="C21" s="68" t="inlineStr">
        <is>
          <t>Design System</t>
        </is>
      </c>
      <c r="D21" s="68" t="inlineStr">
        <is>
          <t>Loading, empty, error, offline &amp; permission state patterns</t>
        </is>
      </c>
      <c r="E21" s="68" t="inlineStr">
        <is>
          <t>Skeleton shimmer, 140px illustration empties, inline errors, sync banner, absent-not-disabled permission handling.</t>
        </is>
      </c>
      <c r="F21" s="68" t="inlineStr">
        <is>
          <t>NFR-12</t>
        </is>
      </c>
      <c r="G21" s="68" t="inlineStr">
        <is>
          <t>All</t>
        </is>
      </c>
      <c r="H21" s="68" t="inlineStr">
        <is>
          <t>Shared</t>
        </is>
      </c>
      <c r="I21" s="68" t="inlineStr">
        <is>
          <t>Frontend</t>
        </is>
      </c>
      <c r="J21" s="69" t="inlineStr">
        <is>
          <t>Must</t>
        </is>
      </c>
      <c r="K21" s="69" t="inlineStr">
        <is>
          <t>MVP</t>
        </is>
      </c>
      <c r="L21" s="69" t="n">
        <v>5</v>
      </c>
      <c r="M21" s="69" t="n">
        <v>4</v>
      </c>
      <c r="N21" s="68">
        <f>IF(M21&lt;=4,"R1 Foundation",IF(M21&lt;=8,"R2 Core Clinic",IF(M21&lt;=13,"R3 Revenue &amp; Messaging",IF(M21&lt;=18,"R4 Patient &amp; Platform",IF(M21&lt;=20,"R5 Harden","R6 Launch")))))</f>
        <v/>
      </c>
      <c r="O21" s="70">
        <f>L21*README!$B$32</f>
        <v/>
      </c>
      <c r="P21" s="68" t="inlineStr">
        <is>
          <t>NB-014</t>
        </is>
      </c>
      <c r="Q21" s="68" t="inlineStr">
        <is>
          <t>Every list screen implements all states; no disabled element carries a permission reason</t>
        </is>
      </c>
      <c r="R21" s="68" t="inlineStr">
        <is>
          <t>Not started</t>
        </is>
      </c>
      <c r="S21" s="68" t="n"/>
    </row>
    <row r="22" ht="23.85" customHeight="1" s="51">
      <c r="A22" s="62" t="inlineStr">
        <is>
          <t>NB-021</t>
        </is>
      </c>
      <c r="B22" s="62" t="inlineStr">
        <is>
          <t>E02 Design System &amp; UI Kit</t>
        </is>
      </c>
      <c r="C22" s="62" t="inlineStr">
        <is>
          <t>Design System</t>
        </is>
      </c>
      <c r="D22" s="62" t="inlineStr">
        <is>
          <t>Light theme build</t>
        </is>
      </c>
      <c r="E22" s="62" t="inlineStr">
        <is>
          <t>DESIGN.md 1.7 mapping. Blocked on stakeholder approval — still marked NEEDS APPROVAL in the source.</t>
        </is>
      </c>
      <c r="F22" s="62" t="n"/>
      <c r="G22" s="62" t="inlineStr">
        <is>
          <t>All</t>
        </is>
      </c>
      <c r="H22" s="62" t="inlineStr">
        <is>
          <t>Shared</t>
        </is>
      </c>
      <c r="I22" s="62" t="inlineStr">
        <is>
          <t>Frontend</t>
        </is>
      </c>
      <c r="J22" s="66" t="inlineStr">
        <is>
          <t>Could</t>
        </is>
      </c>
      <c r="K22" s="66" t="inlineStr">
        <is>
          <t>Phase 2</t>
        </is>
      </c>
      <c r="L22" s="66" t="n">
        <v>5</v>
      </c>
      <c r="M22" s="66" t="n">
        <v>19</v>
      </c>
      <c r="N22" s="62">
        <f>IF(M22&lt;=4,"R1 Foundation",IF(M22&lt;=8,"R2 Core Clinic",IF(M22&lt;=13,"R3 Revenue &amp; Messaging",IF(M22&lt;=18,"R4 Patient &amp; Platform",IF(M22&lt;=20,"R5 Harden","R6 Launch")))))</f>
        <v/>
      </c>
      <c r="O22" s="67">
        <f>L22*README!$B$32</f>
        <v/>
      </c>
      <c r="P22" s="62" t="inlineStr">
        <is>
          <t>NB-012</t>
        </is>
      </c>
      <c r="Q22" s="62" t="inlineStr">
        <is>
          <t>Light theme passes AA on all tokens; per-user toggle persists</t>
        </is>
      </c>
      <c r="R22" s="62" t="inlineStr">
        <is>
          <t>Not started</t>
        </is>
      </c>
      <c r="S22" s="62" t="n"/>
    </row>
    <row r="23" ht="35.05" customHeight="1" s="51">
      <c r="A23" s="68" t="inlineStr">
        <is>
          <t>NB-022</t>
        </is>
      </c>
      <c r="B23" s="68" t="inlineStr">
        <is>
          <t>E03 Chart &amp; Data-Visualisation System</t>
        </is>
      </c>
      <c r="C23" s="68" t="inlineStr">
        <is>
          <t>Charts</t>
        </is>
      </c>
      <c r="D23" s="68" t="inlineStr">
        <is>
          <t>Chart colour foundation &amp; series palette</t>
        </is>
      </c>
      <c r="E23" s="68" t="inlineStr">
        <is>
          <t>Eight categorical series in the OKLCH 0.49-0.53 band, sequential and diverging ramps, neutral diverging midpoint. Reserved state colours never appear as a series.</t>
        </is>
      </c>
      <c r="F23" s="68" t="inlineStr">
        <is>
          <t>GP-03,PED-03</t>
        </is>
      </c>
      <c r="G23" s="68" t="inlineStr">
        <is>
          <t>All</t>
        </is>
      </c>
      <c r="H23" s="68" t="inlineStr">
        <is>
          <t>Shared</t>
        </is>
      </c>
      <c r="I23" s="68" t="inlineStr">
        <is>
          <t>Frontend</t>
        </is>
      </c>
      <c r="J23" s="69" t="inlineStr">
        <is>
          <t>Must</t>
        </is>
      </c>
      <c r="K23" s="69" t="inlineStr">
        <is>
          <t>MVP</t>
        </is>
      </c>
      <c r="L23" s="69" t="n">
        <v>8</v>
      </c>
      <c r="M23" s="69" t="n">
        <v>5</v>
      </c>
      <c r="N23" s="68">
        <f>IF(M23&lt;=4,"R1 Foundation",IF(M23&lt;=8,"R2 Core Clinic",IF(M23&lt;=13,"R3 Revenue &amp; Messaging",IF(M23&lt;=18,"R4 Patient &amp; Platform",IF(M23&lt;=20,"R5 Harden","R6 Launch")))))</f>
        <v/>
      </c>
      <c r="O23" s="70">
        <f>L23*README!$B$32</f>
        <v/>
      </c>
      <c r="P23" s="68" t="inlineStr">
        <is>
          <t>NB-012</t>
        </is>
      </c>
      <c r="Q23" s="68" t="inlineStr">
        <is>
          <t>All eight series at 3:1 on surface-1; automated check rejects any state colour used as series identity</t>
        </is>
      </c>
      <c r="R23" s="68" t="inlineStr">
        <is>
          <t>Not started</t>
        </is>
      </c>
      <c r="S23" s="68" t="n"/>
    </row>
    <row r="24" ht="23.85" customHeight="1" s="51">
      <c r="A24" s="62" t="inlineStr">
        <is>
          <t>NB-023</t>
        </is>
      </c>
      <c r="B24" s="62" t="inlineStr">
        <is>
          <t>E03 Chart &amp; Data-Visualisation System</t>
        </is>
      </c>
      <c r="C24" s="62" t="inlineStr">
        <is>
          <t>Charts</t>
        </is>
      </c>
      <c r="D24" s="62" t="inlineStr">
        <is>
          <t>All-pairs gate &amp; series-count guard</t>
        </is>
      </c>
      <c r="E24" s="62" t="inlineStr">
        <is>
          <t>Only slots 1-3 clear the all-pairs gate; slots 4 and 6 must never share an all-pairs chart. Past three series, fold to Other or facet.</t>
        </is>
      </c>
      <c r="F24" s="62" t="inlineStr">
        <is>
          <t>GP-03</t>
        </is>
      </c>
      <c r="G24" s="62" t="inlineStr">
        <is>
          <t>All</t>
        </is>
      </c>
      <c r="H24" s="62" t="inlineStr">
        <is>
          <t>Shared</t>
        </is>
      </c>
      <c r="I24" s="62" t="inlineStr">
        <is>
          <t>Frontend</t>
        </is>
      </c>
      <c r="J24" s="66" t="inlineStr">
        <is>
          <t>Must</t>
        </is>
      </c>
      <c r="K24" s="66" t="inlineStr">
        <is>
          <t>MVP</t>
        </is>
      </c>
      <c r="L24" s="66" t="n">
        <v>5</v>
      </c>
      <c r="M24" s="66" t="n">
        <v>5</v>
      </c>
      <c r="N24" s="62">
        <f>IF(M24&lt;=4,"R1 Foundation",IF(M24&lt;=8,"R2 Core Clinic",IF(M24&lt;=13,"R3 Revenue &amp; Messaging",IF(M24&lt;=18,"R4 Patient &amp; Platform",IF(M24&lt;=20,"R5 Harden","R6 Launch")))))</f>
        <v/>
      </c>
      <c r="O24" s="67">
        <f>L24*README!$B$32</f>
        <v/>
      </c>
      <c r="P24" s="62" t="inlineStr">
        <is>
          <t>NB-022</t>
        </is>
      </c>
      <c r="Q24" s="62" t="inlineStr">
        <is>
          <t>Component refuses a fourth series in scatter/bubble/small-multiple mode and folds to Other</t>
        </is>
      </c>
      <c r="R24" s="62" t="inlineStr">
        <is>
          <t>Not started</t>
        </is>
      </c>
      <c r="S24" s="62" t="n"/>
    </row>
    <row r="25" ht="23.85" customHeight="1" s="51">
      <c r="A25" s="68" t="inlineStr">
        <is>
          <t>NB-024</t>
        </is>
      </c>
      <c r="B25" s="68" t="inlineStr">
        <is>
          <t>E03 Chart &amp; Data-Visualisation System</t>
        </is>
      </c>
      <c r="C25" s="68" t="inlineStr">
        <is>
          <t>Charts</t>
        </is>
      </c>
      <c r="D25" s="68" t="inlineStr">
        <is>
          <t>Column, bar, line &amp; area primitives</t>
        </is>
      </c>
      <c r="E25" s="68" t="inlineStr">
        <is>
          <t>Inline SVG only, no charting library, no canvas. 24px max thickness, 2px surface gap, 2px line, markers with surface ring.</t>
        </is>
      </c>
      <c r="F25" s="68" t="inlineStr">
        <is>
          <t>NFR-02</t>
        </is>
      </c>
      <c r="G25" s="68" t="inlineStr">
        <is>
          <t>All</t>
        </is>
      </c>
      <c r="H25" s="68" t="inlineStr">
        <is>
          <t>Shared</t>
        </is>
      </c>
      <c r="I25" s="68" t="inlineStr">
        <is>
          <t>Frontend</t>
        </is>
      </c>
      <c r="J25" s="69" t="inlineStr">
        <is>
          <t>Must</t>
        </is>
      </c>
      <c r="K25" s="69" t="inlineStr">
        <is>
          <t>MVP</t>
        </is>
      </c>
      <c r="L25" s="69" t="n">
        <v>8</v>
      </c>
      <c r="M25" s="69" t="n">
        <v>6</v>
      </c>
      <c r="N25" s="68">
        <f>IF(M25&lt;=4,"R1 Foundation",IF(M25&lt;=8,"R2 Core Clinic",IF(M25&lt;=13,"R3 Revenue &amp; Messaging",IF(M25&lt;=18,"R4 Patient &amp; Platform",IF(M25&lt;=20,"R5 Harden","R6 Launch")))))</f>
        <v/>
      </c>
      <c r="O25" s="70">
        <f>L25*README!$B$32</f>
        <v/>
      </c>
      <c r="P25" s="68" t="inlineStr">
        <is>
          <t>NB-022</t>
        </is>
      </c>
      <c r="Q25" s="68" t="inlineStr">
        <is>
          <t>No third-party chart library in the bundle; renders under budget on a mid-range Android</t>
        </is>
      </c>
      <c r="R25" s="68" t="inlineStr">
        <is>
          <t>Not started</t>
        </is>
      </c>
      <c r="S25" s="68" t="n"/>
    </row>
    <row r="26" ht="23.85" customHeight="1" s="51">
      <c r="A26" s="62" t="inlineStr">
        <is>
          <t>NB-025</t>
        </is>
      </c>
      <c r="B26" s="62" t="inlineStr">
        <is>
          <t>E03 Chart &amp; Data-Visualisation System</t>
        </is>
      </c>
      <c r="C26" s="62" t="inlineStr">
        <is>
          <t>Charts</t>
        </is>
      </c>
      <c r="D26" s="62" t="inlineStr">
        <is>
          <t>Stat tile, meter &amp; sparkline</t>
        </is>
      </c>
      <c r="E26" s="62" t="inlineStr">
        <is>
          <t>Auto-compacted values (1,284 / 12.9K / Rs 4.2L), signed delta coloured by direction and whether up is good.</t>
        </is>
      </c>
      <c r="F26" s="62" t="inlineStr">
        <is>
          <t>OWN-01</t>
        </is>
      </c>
      <c r="G26" s="62" t="inlineStr">
        <is>
          <t>Owner</t>
        </is>
      </c>
      <c r="H26" s="62" t="inlineStr">
        <is>
          <t>Shared</t>
        </is>
      </c>
      <c r="I26" s="62" t="inlineStr">
        <is>
          <t>Frontend</t>
        </is>
      </c>
      <c r="J26" s="66" t="inlineStr">
        <is>
          <t>Must</t>
        </is>
      </c>
      <c r="K26" s="66" t="inlineStr">
        <is>
          <t>MVP</t>
        </is>
      </c>
      <c r="L26" s="66" t="n">
        <v>5</v>
      </c>
      <c r="M26" s="66" t="n">
        <v>6</v>
      </c>
      <c r="N26" s="62">
        <f>IF(M26&lt;=4,"R1 Foundation",IF(M26&lt;=8,"R2 Core Clinic",IF(M26&lt;=13,"R3 Revenue &amp; Messaging",IF(M26&lt;=18,"R4 Patient &amp; Platform",IF(M26&lt;=20,"R5 Harden","R6 Launch")))))</f>
        <v/>
      </c>
      <c r="O26" s="67">
        <f>L26*README!$B$32</f>
        <v/>
      </c>
      <c r="P26" s="62" t="inlineStr">
        <is>
          <t>NB-022</t>
        </is>
      </c>
      <c r="Q26" s="62" t="inlineStr">
        <is>
          <t>Compaction correct for INR lakh and SAR conventions in all three languages</t>
        </is>
      </c>
      <c r="R26" s="62" t="inlineStr">
        <is>
          <t>Not started</t>
        </is>
      </c>
      <c r="S26" s="62" t="n"/>
    </row>
    <row r="27" ht="35.05" customHeight="1" s="51">
      <c r="A27" s="68" t="inlineStr">
        <is>
          <t>NB-026</t>
        </is>
      </c>
      <c r="B27" s="68" t="inlineStr">
        <is>
          <t>E03 Chart &amp; Data-Visualisation System</t>
        </is>
      </c>
      <c r="C27" s="68" t="inlineStr">
        <is>
          <t>Charts</t>
        </is>
      </c>
      <c r="D27" s="68" t="inlineStr">
        <is>
          <t>Legend, direct labels, tooltip &amp; crosshair</t>
        </is>
      </c>
      <c r="E27" s="68" t="inlineStr">
        <is>
          <t>Reuses the 8.9 tooltip surface. Labels never wear the series colour; a label that will not fit moves or drops to the tooltip, never clips.</t>
        </is>
      </c>
      <c r="F27" s="68" t="n"/>
      <c r="G27" s="68" t="inlineStr">
        <is>
          <t>All</t>
        </is>
      </c>
      <c r="H27" s="68" t="inlineStr">
        <is>
          <t>Shared</t>
        </is>
      </c>
      <c r="I27" s="68" t="inlineStr">
        <is>
          <t>Frontend</t>
        </is>
      </c>
      <c r="J27" s="69" t="inlineStr">
        <is>
          <t>Must</t>
        </is>
      </c>
      <c r="K27" s="69" t="inlineStr">
        <is>
          <t>MVP</t>
        </is>
      </c>
      <c r="L27" s="69" t="n">
        <v>5</v>
      </c>
      <c r="M27" s="69" t="n">
        <v>7</v>
      </c>
      <c r="N27" s="68">
        <f>IF(M27&lt;=4,"R1 Foundation",IF(M27&lt;=8,"R2 Core Clinic",IF(M27&lt;=13,"R3 Revenue &amp; Messaging",IF(M27&lt;=18,"R4 Patient &amp; Platform",IF(M27&lt;=20,"R5 Harden","R6 Launch")))))</f>
        <v/>
      </c>
      <c r="O27" s="70">
        <f>L27*README!$B$32</f>
        <v/>
      </c>
      <c r="P27" s="68" t="inlineStr">
        <is>
          <t>NB-024</t>
        </is>
      </c>
      <c r="Q27" s="68" t="inlineStr">
        <is>
          <t>No clipped label at any breakpoint; single-series charts render no legend</t>
        </is>
      </c>
      <c r="R27" s="68" t="inlineStr">
        <is>
          <t>Not started</t>
        </is>
      </c>
      <c r="S27" s="68" t="n"/>
    </row>
    <row r="28" ht="23.85" customHeight="1" s="51">
      <c r="A28" s="62" t="inlineStr">
        <is>
          <t>NB-027</t>
        </is>
      </c>
      <c r="B28" s="62" t="inlineStr">
        <is>
          <t>E03 Chart &amp; Data-Visualisation System</t>
        </is>
      </c>
      <c r="C28" s="62" t="inlineStr">
        <is>
          <t>Charts</t>
        </is>
      </c>
      <c r="D28" s="62" t="inlineStr">
        <is>
          <t>Mandatory table view &amp; export path for every chart</t>
        </is>
      </c>
      <c r="E28" s="62" t="inlineStr">
        <is>
          <t>Every chart ships a table view — the sub-3:1 relief channel, the screen-reader equivalent and the export path.</t>
        </is>
      </c>
      <c r="F28" s="62" t="inlineStr">
        <is>
          <t>SYS-23</t>
        </is>
      </c>
      <c r="G28" s="62" t="inlineStr">
        <is>
          <t>All</t>
        </is>
      </c>
      <c r="H28" s="62" t="inlineStr">
        <is>
          <t>Shared</t>
        </is>
      </c>
      <c r="I28" s="62" t="inlineStr">
        <is>
          <t>Frontend</t>
        </is>
      </c>
      <c r="J28" s="66" t="inlineStr">
        <is>
          <t>Must</t>
        </is>
      </c>
      <c r="K28" s="66" t="inlineStr">
        <is>
          <t>MVP</t>
        </is>
      </c>
      <c r="L28" s="66" t="n">
        <v>5</v>
      </c>
      <c r="M28" s="66" t="n">
        <v>7</v>
      </c>
      <c r="N28" s="62">
        <f>IF(M28&lt;=4,"R1 Foundation",IF(M28&lt;=8,"R2 Core Clinic",IF(M28&lt;=13,"R3 Revenue &amp; Messaging",IF(M28&lt;=18,"R4 Patient &amp; Platform",IF(M28&lt;=20,"R5 Harden","R6 Launch")))))</f>
        <v/>
      </c>
      <c r="O28" s="67">
        <f>L28*README!$B$32</f>
        <v/>
      </c>
      <c r="P28" s="62" t="inlineStr">
        <is>
          <t>NB-024</t>
        </is>
      </c>
      <c r="Q28" s="62" t="inlineStr">
        <is>
          <t>No chart ships without a table view; screen reader reads the table, not the SVG</t>
        </is>
      </c>
      <c r="R28" s="62" t="inlineStr">
        <is>
          <t>Not started</t>
        </is>
      </c>
      <c r="S28" s="62" t="n"/>
    </row>
    <row r="29" ht="35.05" customHeight="1" s="51">
      <c r="A29" s="68" t="inlineStr">
        <is>
          <t>NB-028</t>
        </is>
      </c>
      <c r="B29" s="68" t="inlineStr">
        <is>
          <t>E03 Chart &amp; Data-Visualisation System</t>
        </is>
      </c>
      <c r="C29" s="68" t="inlineStr">
        <is>
          <t>Charts</t>
        </is>
      </c>
      <c r="D29" s="68" t="inlineStr">
        <is>
          <t>Ten chart states</t>
        </is>
      </c>
      <c r="E29" s="68" t="inlineStr">
        <is>
          <t>Empty with reason, single data point, insufficient data, loading, offline/stale, partial data (gaps stay gaps), unit-ambiguous, threshold band, permission-restricted, subscription-unavailable.</t>
        </is>
      </c>
      <c r="F29" s="68" t="inlineStr">
        <is>
          <t>PED-03,GP-03</t>
        </is>
      </c>
      <c r="G29" s="68" t="inlineStr">
        <is>
          <t>All</t>
        </is>
      </c>
      <c r="H29" s="68" t="inlineStr">
        <is>
          <t>Shared</t>
        </is>
      </c>
      <c r="I29" s="68" t="inlineStr">
        <is>
          <t>Frontend</t>
        </is>
      </c>
      <c r="J29" s="69" t="inlineStr">
        <is>
          <t>Must</t>
        </is>
      </c>
      <c r="K29" s="69" t="inlineStr">
        <is>
          <t>MVP</t>
        </is>
      </c>
      <c r="L29" s="69" t="n">
        <v>8</v>
      </c>
      <c r="M29" s="69" t="n">
        <v>8</v>
      </c>
      <c r="N29" s="68">
        <f>IF(M29&lt;=4,"R1 Foundation",IF(M29&lt;=8,"R2 Core Clinic",IF(M29&lt;=13,"R3 Revenue &amp; Messaging",IF(M29&lt;=18,"R4 Patient &amp; Platform",IF(M29&lt;=20,"R5 Harden","R6 Launch")))))</f>
        <v/>
      </c>
      <c r="O29" s="70">
        <f>L29*README!$B$32</f>
        <v/>
      </c>
      <c r="P29" s="68" t="inlineStr">
        <is>
          <t>NB-024, NB-020</t>
        </is>
      </c>
      <c r="Q29" s="68" t="inlineStr">
        <is>
          <t>All ten states demonstrated; a one-point trend degrades to a stat tile rather than erroring</t>
        </is>
      </c>
      <c r="R29" s="68" t="inlineStr">
        <is>
          <t>Not started</t>
        </is>
      </c>
      <c r="S29" s="68" t="n"/>
    </row>
    <row r="30" ht="23.85" customHeight="1" s="51">
      <c r="A30" s="62" t="inlineStr">
        <is>
          <t>NB-029</t>
        </is>
      </c>
      <c r="B30" s="62" t="inlineStr">
        <is>
          <t>E03 Chart &amp; Data-Visualisation System</t>
        </is>
      </c>
      <c r="C30" s="62" t="inlineStr">
        <is>
          <t>Charts</t>
        </is>
      </c>
      <c r="D30" s="62" t="inlineStr">
        <is>
          <t>Chart RTL &amp; aggregation rules</t>
        </is>
      </c>
      <c r="E30" s="62" t="inlineStr">
        <is>
          <t>Time axes never mirror; category axes and legends do. Charts past ~200 marks aggregate before rendering and say so.</t>
        </is>
      </c>
      <c r="F30" s="62" t="inlineStr">
        <is>
          <t>NFR-02</t>
        </is>
      </c>
      <c r="G30" s="62" t="inlineStr">
        <is>
          <t>All</t>
        </is>
      </c>
      <c r="H30" s="62" t="inlineStr">
        <is>
          <t>Shared</t>
        </is>
      </c>
      <c r="I30" s="62" t="inlineStr">
        <is>
          <t>Frontend</t>
        </is>
      </c>
      <c r="J30" s="66" t="inlineStr">
        <is>
          <t>Must</t>
        </is>
      </c>
      <c r="K30" s="66" t="inlineStr">
        <is>
          <t>MVP</t>
        </is>
      </c>
      <c r="L30" s="66" t="n">
        <v>5</v>
      </c>
      <c r="M30" s="66" t="n">
        <v>9</v>
      </c>
      <c r="N30" s="62">
        <f>IF(M30&lt;=4,"R1 Foundation",IF(M30&lt;=8,"R2 Core Clinic",IF(M30&lt;=13,"R3 Revenue &amp; Messaging",IF(M30&lt;=18,"R4 Patient &amp; Platform",IF(M30&lt;=20,"R5 Harden","R6 Launch")))))</f>
        <v/>
      </c>
      <c r="O30" s="67">
        <f>L30*README!$B$32</f>
        <v/>
      </c>
      <c r="P30" s="62" t="inlineStr">
        <is>
          <t>NB-024, NB-031</t>
        </is>
      </c>
      <c r="Q30" s="62" t="inlineStr">
        <is>
          <t>Arabic time-axis chart verified unmirrored; 500-mark dataset aggregates with a visible notice</t>
        </is>
      </c>
      <c r="R30" s="62" t="inlineStr">
        <is>
          <t>Not started</t>
        </is>
      </c>
      <c r="S30" s="62" t="n"/>
    </row>
    <row r="31" ht="23.85" customHeight="1" s="51">
      <c r="A31" s="68" t="inlineStr">
        <is>
          <t>NB-030</t>
        </is>
      </c>
      <c r="B31" s="68" t="inlineStr">
        <is>
          <t>E04 Localisation, RTL &amp; i18n</t>
        </is>
      </c>
      <c r="C31" s="68" t="inlineStr">
        <is>
          <t>i18n</t>
        </is>
      </c>
      <c r="D31" s="68" t="inlineStr">
        <is>
          <t>i18n framework &amp; string extraction pipeline</t>
        </is>
      </c>
      <c r="E31" s="68" t="inlineStr">
        <is>
          <t>EN / AR / HI bundles plus the patient-side language set (Hinglish, Tamil, Malayalam, Kannada, Bengali). No hardcoded strings.</t>
        </is>
      </c>
      <c r="F31" s="68" t="inlineStr">
        <is>
          <t>PAT-15</t>
        </is>
      </c>
      <c r="G31" s="68" t="inlineStr">
        <is>
          <t>All</t>
        </is>
      </c>
      <c r="H31" s="68" t="inlineStr">
        <is>
          <t>Shared</t>
        </is>
      </c>
      <c r="I31" s="68" t="inlineStr">
        <is>
          <t>Frontend</t>
        </is>
      </c>
      <c r="J31" s="69" t="inlineStr">
        <is>
          <t>Must</t>
        </is>
      </c>
      <c r="K31" s="69" t="inlineStr">
        <is>
          <t>MVP</t>
        </is>
      </c>
      <c r="L31" s="69" t="n">
        <v>8</v>
      </c>
      <c r="M31" s="69" t="n">
        <v>3</v>
      </c>
      <c r="N31" s="68">
        <f>IF(M31&lt;=4,"R1 Foundation",IF(M31&lt;=8,"R2 Core Clinic",IF(M31&lt;=13,"R3 Revenue &amp; Messaging",IF(M31&lt;=18,"R4 Patient &amp; Platform",IF(M31&lt;=20,"R5 Harden","R6 Launch")))))</f>
        <v/>
      </c>
      <c r="O31" s="70">
        <f>L31*README!$B$32</f>
        <v/>
      </c>
      <c r="P31" s="68" t="inlineStr">
        <is>
          <t>NB-017</t>
        </is>
      </c>
      <c r="Q31" s="68" t="inlineStr">
        <is>
          <t>Lint fails on literal UI strings; pseudo-locale build available</t>
        </is>
      </c>
      <c r="R31" s="68" t="inlineStr">
        <is>
          <t>Not started</t>
        </is>
      </c>
      <c r="S31" s="68" t="n"/>
    </row>
    <row r="32" ht="23.85" customHeight="1" s="51">
      <c r="A32" s="62" t="inlineStr">
        <is>
          <t>NB-031</t>
        </is>
      </c>
      <c r="B32" s="62" t="inlineStr">
        <is>
          <t>E04 Localisation, RTL &amp; i18n</t>
        </is>
      </c>
      <c r="C32" s="62" t="inlineStr">
        <is>
          <t>i18n</t>
        </is>
      </c>
      <c r="D32" s="62" t="inlineStr">
        <is>
          <t>RTL layout engine — logical properties only</t>
        </is>
      </c>
      <c r="E32" s="62" t="inlineStr">
        <is>
          <t>No left/right in shipped CSS. Nav, drawer, table order, chevrons and selected bar all mirror.</t>
        </is>
      </c>
      <c r="F32" s="62" t="n"/>
      <c r="G32" s="62" t="inlineStr">
        <is>
          <t>All</t>
        </is>
      </c>
      <c r="H32" s="62" t="inlineStr">
        <is>
          <t>Shared</t>
        </is>
      </c>
      <c r="I32" s="62" t="inlineStr">
        <is>
          <t>Frontend</t>
        </is>
      </c>
      <c r="J32" s="66" t="inlineStr">
        <is>
          <t>Must</t>
        </is>
      </c>
      <c r="K32" s="66" t="inlineStr">
        <is>
          <t>MVP</t>
        </is>
      </c>
      <c r="L32" s="66" t="n">
        <v>8</v>
      </c>
      <c r="M32" s="66" t="n">
        <v>4</v>
      </c>
      <c r="N32" s="62">
        <f>IF(M32&lt;=4,"R1 Foundation",IF(M32&lt;=8,"R2 Core Clinic",IF(M32&lt;=13,"R3 Revenue &amp; Messaging",IF(M32&lt;=18,"R4 Patient &amp; Platform",IF(M32&lt;=20,"R5 Harden","R6 Launch")))))</f>
        <v/>
      </c>
      <c r="O32" s="67">
        <f>L32*README!$B$32</f>
        <v/>
      </c>
      <c r="P32" s="62" t="inlineStr">
        <is>
          <t>NB-030, NB-017</t>
        </is>
      </c>
      <c r="Q32" s="62" t="inlineStr">
        <is>
          <t>Stylelint blocks physical properties; RTL screenshot suite passes</t>
        </is>
      </c>
      <c r="R32" s="62" t="inlineStr">
        <is>
          <t>Not started</t>
        </is>
      </c>
      <c r="S32" s="62" t="n"/>
    </row>
    <row r="33" ht="46.25" customHeight="1" s="51">
      <c r="A33" s="68" t="inlineStr">
        <is>
          <t>NB-032</t>
        </is>
      </c>
      <c r="B33" s="68" t="inlineStr">
        <is>
          <t>E04 Localisation, RTL &amp; i18n</t>
        </is>
      </c>
      <c r="C33" s="68" t="inlineStr">
        <is>
          <t>i18n</t>
        </is>
      </c>
      <c r="D33" s="68" t="inlineStr">
        <is>
          <t>RTL non-mirroring exception list including anatomy</t>
        </is>
      </c>
      <c r="E33" s="68" t="inlineStr">
        <is>
          <t>Clock glyphs, media, pulse mark, all time axes, phone numbers, Latin IDs, illustrations — and anatomy: the dental arch and dermatology body map keep fixed LTR order with both ends labelled.</t>
        </is>
      </c>
      <c r="F33" s="68" t="inlineStr">
        <is>
          <t>DENT-01,DERM-04</t>
        </is>
      </c>
      <c r="G33" s="68" t="inlineStr">
        <is>
          <t>All</t>
        </is>
      </c>
      <c r="H33" s="68" t="inlineStr">
        <is>
          <t>Shared</t>
        </is>
      </c>
      <c r="I33" s="68" t="inlineStr">
        <is>
          <t>Frontend</t>
        </is>
      </c>
      <c r="J33" s="69" t="inlineStr">
        <is>
          <t>Must</t>
        </is>
      </c>
      <c r="K33" s="69" t="inlineStr">
        <is>
          <t>MVP</t>
        </is>
      </c>
      <c r="L33" s="69" t="n">
        <v>5</v>
      </c>
      <c r="M33" s="69" t="n">
        <v>5</v>
      </c>
      <c r="N33" s="68">
        <f>IF(M33&lt;=4,"R1 Foundation",IF(M33&lt;=8,"R2 Core Clinic",IF(M33&lt;=13,"R3 Revenue &amp; Messaging",IF(M33&lt;=18,"R4 Patient &amp; Platform",IF(M33&lt;=20,"R5 Harden","R6 Launch")))))</f>
        <v/>
      </c>
      <c r="O33" s="70">
        <f>L33*README!$B$32</f>
        <v/>
      </c>
      <c r="P33" s="68" t="inlineStr">
        <is>
          <t>NB-031</t>
        </is>
      </c>
      <c r="Q33" s="68" t="inlineStr">
        <is>
          <t>Dental arch and body map verified unmirrored in Arabic with explicit end labels</t>
        </is>
      </c>
      <c r="R33" s="68" t="inlineStr">
        <is>
          <t>Not started</t>
        </is>
      </c>
      <c r="S33" s="68" t="n"/>
    </row>
    <row r="34" ht="23.85" customHeight="1" s="51">
      <c r="A34" s="62" t="inlineStr">
        <is>
          <t>NB-033</t>
        </is>
      </c>
      <c r="B34" s="62" t="inlineStr">
        <is>
          <t>E04 Localisation, RTL &amp; i18n</t>
        </is>
      </c>
      <c r="C34" s="62" t="inlineStr">
        <is>
          <t>i18n</t>
        </is>
      </c>
      <c r="D34" s="62" t="inlineStr">
        <is>
          <t>Arabic &amp; Devanagari typography</t>
        </is>
      </c>
      <c r="E34" s="62" t="inlineStr">
        <is>
          <t>IBM Plex Sans Arabic pairing, line-height +0.1em, letter-spacing forced to zero.</t>
        </is>
      </c>
      <c r="F34" s="62" t="n"/>
      <c r="G34" s="62" t="inlineStr">
        <is>
          <t>All</t>
        </is>
      </c>
      <c r="H34" s="62" t="inlineStr">
        <is>
          <t>Shared</t>
        </is>
      </c>
      <c r="I34" s="62" t="inlineStr">
        <is>
          <t>Frontend</t>
        </is>
      </c>
      <c r="J34" s="66" t="inlineStr">
        <is>
          <t>Must</t>
        </is>
      </c>
      <c r="K34" s="66" t="inlineStr">
        <is>
          <t>MVP</t>
        </is>
      </c>
      <c r="L34" s="66" t="n">
        <v>3</v>
      </c>
      <c r="M34" s="66" t="n">
        <v>4</v>
      </c>
      <c r="N34" s="62">
        <f>IF(M34&lt;=4,"R1 Foundation",IF(M34&lt;=8,"R2 Core Clinic",IF(M34&lt;=13,"R3 Revenue &amp; Messaging",IF(M34&lt;=18,"R4 Patient &amp; Platform",IF(M34&lt;=20,"R5 Harden","R6 Launch")))))</f>
        <v/>
      </c>
      <c r="O34" s="67">
        <f>L34*README!$B$32</f>
        <v/>
      </c>
      <c r="P34" s="62" t="inlineStr">
        <is>
          <t>NB-030</t>
        </is>
      </c>
      <c r="Q34" s="62" t="inlineStr">
        <is>
          <t>Arabic renders untracked; no clipped descenders</t>
        </is>
      </c>
      <c r="R34" s="62" t="inlineStr">
        <is>
          <t>Not started</t>
        </is>
      </c>
      <c r="S34" s="62" t="n"/>
    </row>
    <row r="35" ht="23.85" customHeight="1" s="51">
      <c r="A35" s="68" t="inlineStr">
        <is>
          <t>NB-034</t>
        </is>
      </c>
      <c r="B35" s="68" t="inlineStr">
        <is>
          <t>E04 Localisation, RTL &amp; i18n</t>
        </is>
      </c>
      <c r="C35" s="68" t="inlineStr">
        <is>
          <t>i18n</t>
        </is>
      </c>
      <c r="D35" s="68" t="inlineStr">
        <is>
          <t>Hijri + Gregorian dual calendar</t>
        </is>
      </c>
      <c r="E35" s="68" t="inlineStr">
        <is>
          <t>KSA tenants show Hijri primary with Gregorian secondary on one line; India Gregorian only.</t>
        </is>
      </c>
      <c r="F35" s="68" t="n"/>
      <c r="G35" s="68" t="inlineStr">
        <is>
          <t>Reception,Doctor,Owner</t>
        </is>
      </c>
      <c r="H35" s="68" t="inlineStr">
        <is>
          <t>Shared</t>
        </is>
      </c>
      <c r="I35" s="68" t="inlineStr">
        <is>
          <t>Frontend</t>
        </is>
      </c>
      <c r="J35" s="69" t="inlineStr">
        <is>
          <t>Must</t>
        </is>
      </c>
      <c r="K35" s="69" t="inlineStr">
        <is>
          <t>MVP</t>
        </is>
      </c>
      <c r="L35" s="69" t="n">
        <v>5</v>
      </c>
      <c r="M35" s="69" t="n">
        <v>5</v>
      </c>
      <c r="N35" s="68">
        <f>IF(M35&lt;=4,"R1 Foundation",IF(M35&lt;=8,"R2 Core Clinic",IF(M35&lt;=13,"R3 Revenue &amp; Messaging",IF(M35&lt;=18,"R4 Patient &amp; Platform",IF(M35&lt;=20,"R5 Harden","R6 Launch")))))</f>
        <v/>
      </c>
      <c r="O35" s="70">
        <f>L35*README!$B$32</f>
        <v/>
      </c>
      <c r="P35" s="68" t="inlineStr">
        <is>
          <t>NB-030</t>
        </is>
      </c>
      <c r="Q35" s="68" t="inlineStr">
        <is>
          <t>Date component unit-tested across both regions and month boundaries</t>
        </is>
      </c>
      <c r="R35" s="68" t="inlineStr">
        <is>
          <t>Not started</t>
        </is>
      </c>
      <c r="S35" s="68" t="n"/>
    </row>
    <row r="36" ht="35.05" customHeight="1" s="51">
      <c r="A36" s="62" t="inlineStr">
        <is>
          <t>NB-035</t>
        </is>
      </c>
      <c r="B36" s="62" t="inlineStr">
        <is>
          <t>E04 Localisation, RTL &amp; i18n</t>
        </is>
      </c>
      <c r="C36" s="62" t="inlineStr">
        <is>
          <t>i18n</t>
        </is>
      </c>
      <c r="D36" s="62" t="inlineStr">
        <is>
          <t>Number, currency &amp; numeral configuration</t>
        </is>
      </c>
      <c r="E36" s="62" t="inlineStr">
        <is>
          <t>Western digits by default for clinical and financial values; INR en-IN grouping vs SAR trailing symbol. Arabic-Indic tenant-configurable.</t>
        </is>
      </c>
      <c r="F36" s="62" t="n"/>
      <c r="G36" s="62" t="inlineStr">
        <is>
          <t>Reception,Owner</t>
        </is>
      </c>
      <c r="H36" s="62" t="inlineStr">
        <is>
          <t>Shared</t>
        </is>
      </c>
      <c r="I36" s="62" t="inlineStr">
        <is>
          <t>Frontend</t>
        </is>
      </c>
      <c r="J36" s="66" t="inlineStr">
        <is>
          <t>Must</t>
        </is>
      </c>
      <c r="K36" s="66" t="inlineStr">
        <is>
          <t>MVP</t>
        </is>
      </c>
      <c r="L36" s="66" t="n">
        <v>3</v>
      </c>
      <c r="M36" s="66" t="n">
        <v>5</v>
      </c>
      <c r="N36" s="62">
        <f>IF(M36&lt;=4,"R1 Foundation",IF(M36&lt;=8,"R2 Core Clinic",IF(M36&lt;=13,"R3 Revenue &amp; Messaging",IF(M36&lt;=18,"R4 Patient &amp; Platform",IF(M36&lt;=20,"R5 Harden","R6 Launch")))))</f>
        <v/>
      </c>
      <c r="O36" s="67">
        <f>L36*README!$B$32</f>
        <v/>
      </c>
      <c r="P36" s="62" t="inlineStr">
        <is>
          <t>NB-030</t>
        </is>
      </c>
      <c r="Q36" s="62" t="inlineStr">
        <is>
          <t>Currency formatting matches the wireframe for both regions</t>
        </is>
      </c>
      <c r="R36" s="62" t="inlineStr">
        <is>
          <t>Not started</t>
        </is>
      </c>
      <c r="S36" s="62" t="n"/>
    </row>
    <row r="37" ht="23.85" customHeight="1" s="51">
      <c r="A37" s="68" t="inlineStr">
        <is>
          <t>NB-036</t>
        </is>
      </c>
      <c r="B37" s="68" t="inlineStr">
        <is>
          <t>E04 Localisation, RTL &amp; i18n</t>
        </is>
      </c>
      <c r="C37" s="68" t="inlineStr">
        <is>
          <t>i18n</t>
        </is>
      </c>
      <c r="D37" s="68" t="inlineStr">
        <is>
          <t>Ramadan &amp; prayer-time schedule mode</t>
        </is>
      </c>
      <c r="E37" s="68" t="inlineStr">
        <is>
          <t>Prayer breaks and Ramadan hours change slot generation for KSA tenants.</t>
        </is>
      </c>
      <c r="F37" s="68" t="inlineStr">
        <is>
          <t>SYS-04,CAD-05</t>
        </is>
      </c>
      <c r="G37" s="68" t="inlineStr">
        <is>
          <t>Reception,Doctor</t>
        </is>
      </c>
      <c r="H37" s="68" t="inlineStr">
        <is>
          <t>Clinic</t>
        </is>
      </c>
      <c r="I37" s="68" t="inlineStr">
        <is>
          <t>Fullstack</t>
        </is>
      </c>
      <c r="J37" s="69" t="inlineStr">
        <is>
          <t>Must</t>
        </is>
      </c>
      <c r="K37" s="69" t="inlineStr">
        <is>
          <t>MVP</t>
        </is>
      </c>
      <c r="L37" s="69" t="n">
        <v>5</v>
      </c>
      <c r="M37" s="69" t="n">
        <v>8</v>
      </c>
      <c r="N37" s="68">
        <f>IF(M37&lt;=4,"R1 Foundation",IF(M37&lt;=8,"R2 Core Clinic",IF(M37&lt;=13,"R3 Revenue &amp; Messaging",IF(M37&lt;=18,"R4 Patient &amp; Platform",IF(M37&lt;=20,"R5 Harden","R6 Launch")))))</f>
        <v/>
      </c>
      <c r="O37" s="70">
        <f>L37*README!$B$32</f>
        <v/>
      </c>
      <c r="P37" s="68" t="inlineStr">
        <is>
          <t>NB-090</t>
        </is>
      </c>
      <c r="Q37" s="68" t="inlineStr">
        <is>
          <t>Prayer blocks appear as non-bookable; Ramadan toggle shifts the whole day template</t>
        </is>
      </c>
      <c r="R37" s="68" t="inlineStr">
        <is>
          <t>Not started</t>
        </is>
      </c>
      <c r="S37" s="68" t="n"/>
    </row>
    <row r="38" ht="23.85" customHeight="1" s="51">
      <c r="A38" s="62" t="inlineStr">
        <is>
          <t>NB-037</t>
        </is>
      </c>
      <c r="B38" s="62" t="inlineStr">
        <is>
          <t>E04 Localisation, RTL &amp; i18n</t>
        </is>
      </c>
      <c r="C38" s="62" t="inlineStr">
        <is>
          <t>i18n</t>
        </is>
      </c>
      <c r="D38" s="62" t="inlineStr">
        <is>
          <t>String-expansion resilience pass</t>
        </is>
      </c>
      <c r="E38" s="62" t="inlineStr">
        <is>
          <t>~30% expansion in Hindi and Arabic; every label container wraps, none truncate below two lines.</t>
        </is>
      </c>
      <c r="F38" s="62" t="n"/>
      <c r="G38" s="62" t="inlineStr">
        <is>
          <t>All</t>
        </is>
      </c>
      <c r="H38" s="62" t="inlineStr">
        <is>
          <t>Shared</t>
        </is>
      </c>
      <c r="I38" s="62" t="inlineStr">
        <is>
          <t>Frontend</t>
        </is>
      </c>
      <c r="J38" s="66" t="inlineStr">
        <is>
          <t>Should</t>
        </is>
      </c>
      <c r="K38" s="66" t="inlineStr">
        <is>
          <t>MVP</t>
        </is>
      </c>
      <c r="L38" s="66" t="n">
        <v>3</v>
      </c>
      <c r="M38" s="66" t="n">
        <v>7</v>
      </c>
      <c r="N38" s="62">
        <f>IF(M38&lt;=4,"R1 Foundation",IF(M38&lt;=8,"R2 Core Clinic",IF(M38&lt;=13,"R3 Revenue &amp; Messaging",IF(M38&lt;=18,"R4 Patient &amp; Platform",IF(M38&lt;=20,"R5 Harden","R6 Launch")))))</f>
        <v/>
      </c>
      <c r="O38" s="67">
        <f>L38*README!$B$32</f>
        <v/>
      </c>
      <c r="P38" s="62" t="inlineStr">
        <is>
          <t>NB-030</t>
        </is>
      </c>
      <c r="Q38" s="62" t="inlineStr">
        <is>
          <t>Pseudo-locale run shows zero truncation defects</t>
        </is>
      </c>
      <c r="R38" s="62" t="inlineStr">
        <is>
          <t>Not started</t>
        </is>
      </c>
      <c r="S38" s="62" t="n"/>
    </row>
    <row r="39" ht="23.85" customHeight="1" s="51">
      <c r="A39" s="68" t="inlineStr">
        <is>
          <t>NB-038</t>
        </is>
      </c>
      <c r="B39" s="68" t="inlineStr">
        <is>
          <t>E04 Localisation, RTL &amp; i18n</t>
        </is>
      </c>
      <c r="C39" s="68" t="inlineStr">
        <is>
          <t>i18n</t>
        </is>
      </c>
      <c r="D39" s="68" t="inlineStr">
        <is>
          <t>Clinical &amp; regulatory terminology review</t>
        </is>
      </c>
      <c r="E39" s="68" t="inlineStr">
        <is>
          <t>Native clinician review of Arabic and Hindi clinical strings. Mistranslation here is a patient-safety risk.</t>
        </is>
      </c>
      <c r="F39" s="68" t="n"/>
      <c r="G39" s="68" t="inlineStr">
        <is>
          <t>Doctor,Nurse</t>
        </is>
      </c>
      <c r="H39" s="68" t="inlineStr">
        <is>
          <t>Shared</t>
        </is>
      </c>
      <c r="I39" s="68" t="inlineStr">
        <is>
          <t>QA</t>
        </is>
      </c>
      <c r="J39" s="69" t="inlineStr">
        <is>
          <t>Must</t>
        </is>
      </c>
      <c r="K39" s="69" t="inlineStr">
        <is>
          <t>MVP</t>
        </is>
      </c>
      <c r="L39" s="69" t="n">
        <v>5</v>
      </c>
      <c r="M39" s="69" t="n">
        <v>16</v>
      </c>
      <c r="N39" s="68">
        <f>IF(M39&lt;=4,"R1 Foundation",IF(M39&lt;=8,"R2 Core Clinic",IF(M39&lt;=13,"R3 Revenue &amp; Messaging",IF(M39&lt;=18,"R4 Patient &amp; Platform",IF(M39&lt;=20,"R5 Harden","R6 Launch")))))</f>
        <v/>
      </c>
      <c r="O39" s="70">
        <f>L39*README!$B$32</f>
        <v/>
      </c>
      <c r="P39" s="68" t="inlineStr">
        <is>
          <t>NB-030, NB-103</t>
        </is>
      </c>
      <c r="Q39" s="68" t="inlineStr">
        <is>
          <t>Sign-off from a licensed reviewer per language</t>
        </is>
      </c>
      <c r="R39" s="68" t="inlineStr">
        <is>
          <t>Not started</t>
        </is>
      </c>
      <c r="S39" s="68" t="n"/>
    </row>
    <row r="40" ht="23.85" customHeight="1" s="51">
      <c r="A40" s="62" t="inlineStr">
        <is>
          <t>NB-039</t>
        </is>
      </c>
      <c r="B40" s="62" t="inlineStr">
        <is>
          <t>E04 Localisation, RTL &amp; i18n</t>
        </is>
      </c>
      <c r="C40" s="62" t="inlineStr">
        <is>
          <t>i18n</t>
        </is>
      </c>
      <c r="D40" s="62" t="inlineStr">
        <is>
          <t>Voice-note handling on the patient channel</t>
        </is>
      </c>
      <c r="E40" s="62" t="inlineStr">
        <is>
          <t>Patients send voice notes; the clinic receives them transcribed or playable without leaving the inbox.</t>
        </is>
      </c>
      <c r="F40" s="62" t="inlineStr">
        <is>
          <t>PAT-15</t>
        </is>
      </c>
      <c r="G40" s="62" t="inlineStr">
        <is>
          <t>Patient,Reception</t>
        </is>
      </c>
      <c r="H40" s="62" t="inlineStr">
        <is>
          <t>Patient</t>
        </is>
      </c>
      <c r="I40" s="62" t="inlineStr">
        <is>
          <t>Fullstack</t>
        </is>
      </c>
      <c r="J40" s="66" t="inlineStr">
        <is>
          <t>Should</t>
        </is>
      </c>
      <c r="K40" s="66" t="inlineStr">
        <is>
          <t>Phase 2</t>
        </is>
      </c>
      <c r="L40" s="66" t="n">
        <v>8</v>
      </c>
      <c r="M40" s="66" t="n">
        <v>17</v>
      </c>
      <c r="N40" s="62">
        <f>IF(M40&lt;=4,"R1 Foundation",IF(M40&lt;=8,"R2 Core Clinic",IF(M40&lt;=13,"R3 Revenue &amp; Messaging",IF(M40&lt;=18,"R4 Patient &amp; Platform",IF(M40&lt;=20,"R5 Harden","R6 Launch")))))</f>
        <v/>
      </c>
      <c r="O40" s="67">
        <f>L40*README!$B$32</f>
        <v/>
      </c>
      <c r="P40" s="62" t="inlineStr">
        <is>
          <t>NB-197, NB-030</t>
        </is>
      </c>
      <c r="Q40" s="62" t="inlineStr">
        <is>
          <t>Voice note playable in the shared inbox; transcription failure degrades gracefully to audio</t>
        </is>
      </c>
      <c r="R40" s="62" t="inlineStr">
        <is>
          <t>Not started</t>
        </is>
      </c>
      <c r="S40" s="62" t="n"/>
    </row>
    <row r="41" ht="23.85" customHeight="1" s="51">
      <c r="A41" s="68" t="inlineStr">
        <is>
          <t>NB-040</t>
        </is>
      </c>
      <c r="B41" s="68" t="inlineStr">
        <is>
          <t>E05 Identity, Auth &amp; Session</t>
        </is>
      </c>
      <c r="C41" s="68" t="inlineStr">
        <is>
          <t>Auth</t>
        </is>
      </c>
      <c r="D41" s="68" t="inlineStr">
        <is>
          <t>Staff authentication — WhatsApp OTP, short PIN, authenticator app</t>
        </is>
      </c>
      <c r="E41" s="68" t="inlineStr">
        <is>
          <t>The three supported methods. NFR-06 explicitly rules out SSO and hardware security keys — do not build them.</t>
        </is>
      </c>
      <c r="F41" s="68" t="inlineStr">
        <is>
          <t>NFR-06,SYS-01</t>
        </is>
      </c>
      <c r="G41" s="68" t="inlineStr">
        <is>
          <t>All</t>
        </is>
      </c>
      <c r="H41" s="68" t="inlineStr">
        <is>
          <t>Shared</t>
        </is>
      </c>
      <c r="I41" s="68" t="inlineStr">
        <is>
          <t>Security</t>
        </is>
      </c>
      <c r="J41" s="69" t="inlineStr">
        <is>
          <t>Must</t>
        </is>
      </c>
      <c r="K41" s="69" t="inlineStr">
        <is>
          <t>MVP</t>
        </is>
      </c>
      <c r="L41" s="69" t="n">
        <v>8</v>
      </c>
      <c r="M41" s="69" t="n">
        <v>2</v>
      </c>
      <c r="N41" s="68">
        <f>IF(M41&lt;=4,"R1 Foundation",IF(M41&lt;=8,"R2 Core Clinic",IF(M41&lt;=13,"R3 Revenue &amp; Messaging",IF(M41&lt;=18,"R4 Patient &amp; Platform",IF(M41&lt;=20,"R5 Harden","R6 Launch")))))</f>
        <v/>
      </c>
      <c r="O41" s="70">
        <f>L41*README!$B$32</f>
        <v/>
      </c>
      <c r="P41" s="68" t="inlineStr">
        <is>
          <t>NB-001, NB-003</t>
        </is>
      </c>
      <c r="Q41" s="68" t="inlineStr">
        <is>
          <t>All three methods work; no SSO or WebAuthn code path exists; OWASP ASVS L2 auth controls verified</t>
        </is>
      </c>
      <c r="R41" s="68" t="inlineStr">
        <is>
          <t>Done</t>
        </is>
      </c>
      <c r="S41" s="68" t="n"/>
    </row>
    <row r="42" ht="23.85" customHeight="1" s="51">
      <c r="A42" s="62" t="inlineStr">
        <is>
          <t>NB-041</t>
        </is>
      </c>
      <c r="B42" s="62" t="inlineStr">
        <is>
          <t>E05 Identity, Auth &amp; Session</t>
        </is>
      </c>
      <c r="C42" s="62" t="inlineStr">
        <is>
          <t>Auth</t>
        </is>
      </c>
      <c r="D42" s="62" t="inlineStr">
        <is>
          <t>Dual-channel staff identity — verified email + mobile</t>
        </is>
      </c>
      <c r="E42" s="62" t="inlineStr">
        <is>
          <t>Mobile receives the WhatsApp OTP, email receives the activation link. Both are required before any patient data is reachable.</t>
        </is>
      </c>
      <c r="F42" s="62" t="inlineStr">
        <is>
          <t>CAD-12</t>
        </is>
      </c>
      <c r="G42" s="62" t="inlineStr">
        <is>
          <t>All</t>
        </is>
      </c>
      <c r="H42" s="62" t="inlineStr">
        <is>
          <t>Shared</t>
        </is>
      </c>
      <c r="I42" s="62" t="inlineStr">
        <is>
          <t>Security</t>
        </is>
      </c>
      <c r="J42" s="66" t="inlineStr">
        <is>
          <t>Must</t>
        </is>
      </c>
      <c r="K42" s="66" t="inlineStr">
        <is>
          <t>MVP</t>
        </is>
      </c>
      <c r="L42" s="66" t="n">
        <v>5</v>
      </c>
      <c r="M42" s="66" t="n">
        <v>3</v>
      </c>
      <c r="N42" s="62">
        <f>IF(M42&lt;=4,"R1 Foundation",IF(M42&lt;=8,"R2 Core Clinic",IF(M42&lt;=13,"R3 Revenue &amp; Messaging",IF(M42&lt;=18,"R4 Patient &amp; Platform",IF(M42&lt;=20,"R5 Harden","R6 Launch")))))</f>
        <v/>
      </c>
      <c r="O42" s="67">
        <f>L42*README!$B$32</f>
        <v/>
      </c>
      <c r="P42" s="62" t="inlineStr">
        <is>
          <t>NB-040</t>
        </is>
      </c>
      <c r="Q42" s="62" t="inlineStr">
        <is>
          <t>Access to patient data is impossible until both channels are verified</t>
        </is>
      </c>
      <c r="R42" s="62" t="inlineStr">
        <is>
          <t>Done</t>
        </is>
      </c>
      <c r="S42" s="62" t="n"/>
    </row>
    <row r="43" ht="23.85" customHeight="1" s="51">
      <c r="A43" s="68" t="inlineStr">
        <is>
          <t>NB-042</t>
        </is>
      </c>
      <c r="B43" s="68" t="inlineStr">
        <is>
          <t>E05 Identity, Auth &amp; Session</t>
        </is>
      </c>
      <c r="C43" s="68" t="inlineStr">
        <is>
          <t>Auth</t>
        </is>
      </c>
      <c r="D43" s="68" t="inlineStr">
        <is>
          <t>Authenticator-app MFA enforcement</t>
        </is>
      </c>
      <c r="E43" s="68" t="inlineStr">
        <is>
          <t>Mandatory for Owner, Platform operators and anyone holding refund or discount rights.</t>
        </is>
      </c>
      <c r="F43" s="68" t="inlineStr">
        <is>
          <t>NFR-06</t>
        </is>
      </c>
      <c r="G43" s="68" t="inlineStr">
        <is>
          <t>Owner,Platform</t>
        </is>
      </c>
      <c r="H43" s="68" t="inlineStr">
        <is>
          <t>Shared</t>
        </is>
      </c>
      <c r="I43" s="68" t="inlineStr">
        <is>
          <t>Security</t>
        </is>
      </c>
      <c r="J43" s="69" t="inlineStr">
        <is>
          <t>Must</t>
        </is>
      </c>
      <c r="K43" s="69" t="inlineStr">
        <is>
          <t>MVP</t>
        </is>
      </c>
      <c r="L43" s="69" t="n">
        <v>5</v>
      </c>
      <c r="M43" s="69" t="n">
        <v>4</v>
      </c>
      <c r="N43" s="68">
        <f>IF(M43&lt;=4,"R1 Foundation",IF(M43&lt;=8,"R2 Core Clinic",IF(M43&lt;=13,"R3 Revenue &amp; Messaging",IF(M43&lt;=18,"R4 Patient &amp; Platform",IF(M43&lt;=20,"R5 Harden","R6 Launch")))))</f>
        <v/>
      </c>
      <c r="O43" s="70">
        <f>L43*README!$B$32</f>
        <v/>
      </c>
      <c r="P43" s="68" t="inlineStr">
        <is>
          <t>NB-040</t>
        </is>
      </c>
      <c r="Q43" s="68" t="inlineStr">
        <is>
          <t>MFA enforced by policy; recovery codes single-use</t>
        </is>
      </c>
      <c r="R43" s="68" t="inlineStr">
        <is>
          <t>Done</t>
        </is>
      </c>
      <c r="S43" s="68" t="n"/>
    </row>
    <row r="44" ht="23.85" customHeight="1" s="51">
      <c r="A44" s="62" t="inlineStr">
        <is>
          <t>NB-043</t>
        </is>
      </c>
      <c r="B44" s="62" t="inlineStr">
        <is>
          <t>E05 Identity, Auth &amp; Session</t>
        </is>
      </c>
      <c r="C44" s="62" t="inlineStr">
        <is>
          <t>Auth</t>
        </is>
      </c>
      <c r="D44" s="62" t="inlineStr">
        <is>
          <t>Session management &amp; device trust</t>
        </is>
      </c>
      <c r="E44" s="62" t="inlineStr">
        <is>
          <t>Short-lived access token, rotating refresh, per-device session list, remote revoke.</t>
        </is>
      </c>
      <c r="F44" s="62" t="n"/>
      <c r="G44" s="62" t="inlineStr">
        <is>
          <t>All</t>
        </is>
      </c>
      <c r="H44" s="62" t="inlineStr">
        <is>
          <t>Shared</t>
        </is>
      </c>
      <c r="I44" s="62" t="inlineStr">
        <is>
          <t>Security</t>
        </is>
      </c>
      <c r="J44" s="66" t="inlineStr">
        <is>
          <t>Must</t>
        </is>
      </c>
      <c r="K44" s="66" t="inlineStr">
        <is>
          <t>MVP</t>
        </is>
      </c>
      <c r="L44" s="66" t="n">
        <v>5</v>
      </c>
      <c r="M44" s="66" t="n">
        <v>3</v>
      </c>
      <c r="N44" s="62">
        <f>IF(M44&lt;=4,"R1 Foundation",IF(M44&lt;=8,"R2 Core Clinic",IF(M44&lt;=13,"R3 Revenue &amp; Messaging",IF(M44&lt;=18,"R4 Patient &amp; Platform",IF(M44&lt;=20,"R5 Harden","R6 Launch")))))</f>
        <v/>
      </c>
      <c r="O44" s="67">
        <f>L44*README!$B$32</f>
        <v/>
      </c>
      <c r="P44" s="62" t="inlineStr">
        <is>
          <t>NB-040</t>
        </is>
      </c>
      <c r="Q44" s="62" t="inlineStr">
        <is>
          <t>Revoked session denied within 60s; refresh-token reuse detected</t>
        </is>
      </c>
      <c r="R44" s="62" t="inlineStr">
        <is>
          <t>Done</t>
        </is>
      </c>
      <c r="S44" s="62" t="n"/>
    </row>
    <row r="45" ht="23.85" customHeight="1" s="51">
      <c r="A45" s="68" t="inlineStr">
        <is>
          <t>NB-044</t>
        </is>
      </c>
      <c r="B45" s="68" t="inlineStr">
        <is>
          <t>E05 Identity, Auth &amp; Session</t>
        </is>
      </c>
      <c r="C45" s="68" t="inlineStr">
        <is>
          <t>Auth</t>
        </is>
      </c>
      <c r="D45" s="68" t="inlineStr">
        <is>
          <t>Idle timeout &amp; clinical screen lock</t>
        </is>
      </c>
      <c r="E45" s="68" t="inlineStr">
        <is>
          <t>Shared clinic workstations auto-lock with fast re-auth and no loss of draft clinical notes.</t>
        </is>
      </c>
      <c r="F45" s="68" t="n"/>
      <c r="G45" s="68" t="inlineStr">
        <is>
          <t>Reception,Nurse,Doctor</t>
        </is>
      </c>
      <c r="H45" s="68" t="inlineStr">
        <is>
          <t>Clinic</t>
        </is>
      </c>
      <c r="I45" s="68" t="inlineStr">
        <is>
          <t>Frontend</t>
        </is>
      </c>
      <c r="J45" s="69" t="inlineStr">
        <is>
          <t>Must</t>
        </is>
      </c>
      <c r="K45" s="69" t="inlineStr">
        <is>
          <t>MVP</t>
        </is>
      </c>
      <c r="L45" s="69" t="n">
        <v>3</v>
      </c>
      <c r="M45" s="69" t="n">
        <v>6</v>
      </c>
      <c r="N45" s="68">
        <f>IF(M45&lt;=4,"R1 Foundation",IF(M45&lt;=8,"R2 Core Clinic",IF(M45&lt;=13,"R3 Revenue &amp; Messaging",IF(M45&lt;=18,"R4 Patient &amp; Platform",IF(M45&lt;=20,"R5 Harden","R6 Launch")))))</f>
        <v/>
      </c>
      <c r="O45" s="70">
        <f>L45*README!$B$32</f>
        <v/>
      </c>
      <c r="P45" s="68" t="inlineStr">
        <is>
          <t>NB-043</t>
        </is>
      </c>
      <c r="Q45" s="68" t="inlineStr">
        <is>
          <t>Draft consultation notes survive lock and unlock</t>
        </is>
      </c>
      <c r="R45" s="68" t="inlineStr">
        <is>
          <t>Done</t>
        </is>
      </c>
      <c r="S45" s="68" t="n"/>
    </row>
    <row r="46" ht="23.85" customHeight="1" s="51">
      <c r="A46" s="62" t="inlineStr">
        <is>
          <t>NB-045</t>
        </is>
      </c>
      <c r="B46" s="62" t="inlineStr">
        <is>
          <t>E05 Identity, Auth &amp; Session</t>
        </is>
      </c>
      <c r="C46" s="62" t="inlineStr">
        <is>
          <t>Auth</t>
        </is>
      </c>
      <c r="D46" s="62" t="inlineStr">
        <is>
          <t>Staff invite, onboarding &amp; first sign-in</t>
        </is>
      </c>
      <c r="E46" s="62" t="inlineStr">
        <is>
          <t>Matches the Invited / Pending first sign-in state in the Staff wireframe.</t>
        </is>
      </c>
      <c r="F46" s="62" t="inlineStr">
        <is>
          <t>CAD-12</t>
        </is>
      </c>
      <c r="G46" s="62" t="inlineStr">
        <is>
          <t>Owner</t>
        </is>
      </c>
      <c r="H46" s="62" t="inlineStr">
        <is>
          <t>Clinic</t>
        </is>
      </c>
      <c r="I46" s="62" t="inlineStr">
        <is>
          <t>Fullstack</t>
        </is>
      </c>
      <c r="J46" s="66" t="inlineStr">
        <is>
          <t>Must</t>
        </is>
      </c>
      <c r="K46" s="66" t="inlineStr">
        <is>
          <t>MVP</t>
        </is>
      </c>
      <c r="L46" s="66" t="n">
        <v>5</v>
      </c>
      <c r="M46" s="66" t="n">
        <v>7</v>
      </c>
      <c r="N46" s="62">
        <f>IF(M46&lt;=4,"R1 Foundation",IF(M46&lt;=8,"R2 Core Clinic",IF(M46&lt;=13,"R3 Revenue &amp; Messaging",IF(M46&lt;=18,"R4 Patient &amp; Platform",IF(M46&lt;=20,"R5 Harden","R6 Launch")))))</f>
        <v/>
      </c>
      <c r="O46" s="67">
        <f>L46*README!$B$32</f>
        <v/>
      </c>
      <c r="P46" s="62" t="inlineStr">
        <is>
          <t>NB-041, NB-049</t>
        </is>
      </c>
      <c r="Q46" s="62" t="inlineStr">
        <is>
          <t>Invite expires in 72h, single use, audited</t>
        </is>
      </c>
      <c r="R46" s="62" t="inlineStr">
        <is>
          <t>Done</t>
        </is>
      </c>
      <c r="S46" s="62" t="n"/>
    </row>
    <row r="47" ht="23.85" customHeight="1" s="51">
      <c r="A47" s="68" t="inlineStr">
        <is>
          <t>NB-046</t>
        </is>
      </c>
      <c r="B47" s="68" t="inlineStr">
        <is>
          <t>E05 Identity, Auth &amp; Session</t>
        </is>
      </c>
      <c r="C47" s="68" t="inlineStr">
        <is>
          <t>Auth</t>
        </is>
      </c>
      <c r="D47" s="68" t="inlineStr">
        <is>
          <t>Password/PIN reset &amp; account recovery</t>
        </is>
      </c>
      <c r="E47" s="68" t="inlineStr">
        <is>
          <t>Rate-limited, token-based, no user enumeration.</t>
        </is>
      </c>
      <c r="F47" s="68" t="n"/>
      <c r="G47" s="68" t="inlineStr">
        <is>
          <t>All</t>
        </is>
      </c>
      <c r="H47" s="68" t="inlineStr">
        <is>
          <t>Shared</t>
        </is>
      </c>
      <c r="I47" s="68" t="inlineStr">
        <is>
          <t>Security</t>
        </is>
      </c>
      <c r="J47" s="69" t="inlineStr">
        <is>
          <t>Must</t>
        </is>
      </c>
      <c r="K47" s="69" t="inlineStr">
        <is>
          <t>MVP</t>
        </is>
      </c>
      <c r="L47" s="69" t="n">
        <v>3</v>
      </c>
      <c r="M47" s="69" t="n">
        <v>5</v>
      </c>
      <c r="N47" s="68">
        <f>IF(M47&lt;=4,"R1 Foundation",IF(M47&lt;=8,"R2 Core Clinic",IF(M47&lt;=13,"R3 Revenue &amp; Messaging",IF(M47&lt;=18,"R4 Patient &amp; Platform",IF(M47&lt;=20,"R5 Harden","R6 Launch")))))</f>
        <v/>
      </c>
      <c r="O47" s="70">
        <f>L47*README!$B$32</f>
        <v/>
      </c>
      <c r="P47" s="68" t="inlineStr">
        <is>
          <t>NB-040</t>
        </is>
      </c>
      <c r="Q47" s="68" t="inlineStr">
        <is>
          <t>Timing and copy identical for known and unknown accounts</t>
        </is>
      </c>
      <c r="R47" s="68" t="inlineStr">
        <is>
          <t>Done</t>
        </is>
      </c>
      <c r="S47" s="68" t="n"/>
    </row>
    <row r="48" ht="23.85" customHeight="1" s="51">
      <c r="A48" s="62" t="inlineStr">
        <is>
          <t>NB-047</t>
        </is>
      </c>
      <c r="B48" s="62" t="inlineStr">
        <is>
          <t>E05 Identity, Auth &amp; Session</t>
        </is>
      </c>
      <c r="C48" s="62" t="inlineStr">
        <is>
          <t>Auth</t>
        </is>
      </c>
      <c r="D48" s="62" t="inlineStr">
        <is>
          <t>Staff suspension &amp; immediate session termination</t>
        </is>
      </c>
      <c r="E48" s="62" t="inlineStr">
        <is>
          <t>A suspended staff member loses access on every device at once.</t>
        </is>
      </c>
      <c r="F48" s="62" t="n"/>
      <c r="G48" s="62" t="inlineStr">
        <is>
          <t>Owner</t>
        </is>
      </c>
      <c r="H48" s="62" t="inlineStr">
        <is>
          <t>Clinic</t>
        </is>
      </c>
      <c r="I48" s="62" t="inlineStr">
        <is>
          <t>Backend</t>
        </is>
      </c>
      <c r="J48" s="66" t="inlineStr">
        <is>
          <t>Must</t>
        </is>
      </c>
      <c r="K48" s="66" t="inlineStr">
        <is>
          <t>MVP</t>
        </is>
      </c>
      <c r="L48" s="66" t="n">
        <v>3</v>
      </c>
      <c r="M48" s="66" t="n">
        <v>7</v>
      </c>
      <c r="N48" s="62">
        <f>IF(M48&lt;=4,"R1 Foundation",IF(M48&lt;=8,"R2 Core Clinic",IF(M48&lt;=13,"R3 Revenue &amp; Messaging",IF(M48&lt;=18,"R4 Patient &amp; Platform",IF(M48&lt;=20,"R5 Harden","R6 Launch")))))</f>
        <v/>
      </c>
      <c r="O48" s="67">
        <f>L48*README!$B$32</f>
        <v/>
      </c>
      <c r="P48" s="62" t="inlineStr">
        <is>
          <t>NB-043, NB-045</t>
        </is>
      </c>
      <c r="Q48" s="62" t="inlineStr">
        <is>
          <t>Suspension kills live sessions within 30s and writes an audit event</t>
        </is>
      </c>
      <c r="R48" s="62" t="inlineStr">
        <is>
          <t>Done</t>
        </is>
      </c>
      <c r="S48" s="62" t="n"/>
    </row>
    <row r="49" ht="23.85" customHeight="1" s="51">
      <c r="A49" s="68" t="inlineStr">
        <is>
          <t>NB-048</t>
        </is>
      </c>
      <c r="B49" s="68" t="inlineStr">
        <is>
          <t>E05 Identity, Auth &amp; Session</t>
        </is>
      </c>
      <c r="C49" s="68" t="inlineStr">
        <is>
          <t>Auth</t>
        </is>
      </c>
      <c r="D49" s="68" t="inlineStr">
        <is>
          <t>Break-glass emergency access</t>
        </is>
      </c>
      <c r="E49" s="68" t="inlineStr">
        <is>
          <t>Time-boxed elevated access with mandatory reason and loud audit alerting.</t>
        </is>
      </c>
      <c r="F49" s="68" t="inlineStr">
        <is>
          <t>SYS-13</t>
        </is>
      </c>
      <c r="G49" s="68" t="inlineStr">
        <is>
          <t>Doctor,Owner</t>
        </is>
      </c>
      <c r="H49" s="68" t="inlineStr">
        <is>
          <t>Clinic</t>
        </is>
      </c>
      <c r="I49" s="68" t="inlineStr">
        <is>
          <t>Security</t>
        </is>
      </c>
      <c r="J49" s="69" t="inlineStr">
        <is>
          <t>Should</t>
        </is>
      </c>
      <c r="K49" s="69" t="inlineStr">
        <is>
          <t>Phase 2</t>
        </is>
      </c>
      <c r="L49" s="69" t="n">
        <v>5</v>
      </c>
      <c r="M49" s="69" t="n">
        <v>15</v>
      </c>
      <c r="N49" s="68">
        <f>IF(M49&lt;=4,"R1 Foundation",IF(M49&lt;=8,"R2 Core Clinic",IF(M49&lt;=13,"R3 Revenue &amp; Messaging",IF(M49&lt;=18,"R4 Patient &amp; Platform",IF(M49&lt;=20,"R5 Harden","R6 Launch")))))</f>
        <v/>
      </c>
      <c r="O49" s="70">
        <f>L49*README!$B$32</f>
        <v/>
      </c>
      <c r="P49" s="68" t="inlineStr">
        <is>
          <t>NB-049, NB-238</t>
        </is>
      </c>
      <c r="Q49" s="68" t="inlineStr">
        <is>
          <t>Break-glass expires automatically; owner notified in real time</t>
        </is>
      </c>
      <c r="R49" s="68" t="inlineStr">
        <is>
          <t>Done</t>
        </is>
      </c>
      <c r="S49" s="68" t="n"/>
    </row>
    <row r="50" ht="35.05" customHeight="1" s="51">
      <c r="A50" s="62" t="inlineStr">
        <is>
          <t>NB-049</t>
        </is>
      </c>
      <c r="B50" s="62" t="inlineStr">
        <is>
          <t>E06 RBAC &amp; Permissions</t>
        </is>
      </c>
      <c r="C50" s="62" t="inlineStr">
        <is>
          <t>RBAC</t>
        </is>
      </c>
      <c r="D50" s="62" t="inlineStr">
        <is>
          <t>Clinic role &amp; permission model (10 modules x 7 actions)</t>
        </is>
      </c>
      <c r="E50" s="62" t="inlineStr">
        <is>
          <t>Patients, Queue, Clinical, Billing, Packages, Pharmacy, Reports, Staff &amp; Access, Setup, Compliance across Owner / Doctor / Reception / Nurse / Custom.</t>
        </is>
      </c>
      <c r="F50" s="62" t="n"/>
      <c r="G50" s="62" t="inlineStr">
        <is>
          <t>All</t>
        </is>
      </c>
      <c r="H50" s="62" t="inlineStr">
        <is>
          <t>Clinic</t>
        </is>
      </c>
      <c r="I50" s="62" t="inlineStr">
        <is>
          <t>Backend</t>
        </is>
      </c>
      <c r="J50" s="66" t="inlineStr">
        <is>
          <t>Must</t>
        </is>
      </c>
      <c r="K50" s="66" t="inlineStr">
        <is>
          <t>MVP</t>
        </is>
      </c>
      <c r="L50" s="66" t="n">
        <v>8</v>
      </c>
      <c r="M50" s="66" t="n">
        <v>4</v>
      </c>
      <c r="N50" s="62">
        <f>IF(M50&lt;=4,"R1 Foundation",IF(M50&lt;=8,"R2 Core Clinic",IF(M50&lt;=13,"R3 Revenue &amp; Messaging",IF(M50&lt;=18,"R4 Patient &amp; Platform",IF(M50&lt;=20,"R5 Harden","R6 Launch")))))</f>
        <v/>
      </c>
      <c r="O50" s="67">
        <f>L50*README!$B$32</f>
        <v/>
      </c>
      <c r="P50" s="62" t="inlineStr">
        <is>
          <t>NB-003</t>
        </is>
      </c>
      <c r="Q50" s="62" t="inlineStr">
        <is>
          <t>Matrix matches the wireframe PERMS fixture exactly; unit-tested per role</t>
        </is>
      </c>
      <c r="R50" s="62" t="inlineStr">
        <is>
          <t>Done</t>
        </is>
      </c>
      <c r="S50" s="62" t="n"/>
    </row>
    <row r="51" ht="23.85" customHeight="1" s="51">
      <c r="A51" s="68" t="inlineStr">
        <is>
          <t>NB-050</t>
        </is>
      </c>
      <c r="B51" s="68" t="inlineStr">
        <is>
          <t>E06 RBAC &amp; Permissions</t>
        </is>
      </c>
      <c r="C51" s="68" t="inlineStr">
        <is>
          <t>RBAC</t>
        </is>
      </c>
      <c r="D51" s="68" t="inlineStr">
        <is>
          <t>Server-side policy enforcement point</t>
        </is>
      </c>
      <c r="E51" s="68" t="inlineStr">
        <is>
          <t>Deny by default on every endpoint. No client-only gating anywhere.</t>
        </is>
      </c>
      <c r="F51" s="68" t="n"/>
      <c r="G51" s="68" t="inlineStr">
        <is>
          <t>All</t>
        </is>
      </c>
      <c r="H51" s="68" t="inlineStr">
        <is>
          <t>Shared</t>
        </is>
      </c>
      <c r="I51" s="68" t="inlineStr">
        <is>
          <t>Security</t>
        </is>
      </c>
      <c r="J51" s="69" t="inlineStr">
        <is>
          <t>Must</t>
        </is>
      </c>
      <c r="K51" s="69" t="inlineStr">
        <is>
          <t>MVP</t>
        </is>
      </c>
      <c r="L51" s="69" t="n">
        <v>8</v>
      </c>
      <c r="M51" s="69" t="n">
        <v>5</v>
      </c>
      <c r="N51" s="68">
        <f>IF(M51&lt;=4,"R1 Foundation",IF(M51&lt;=8,"R2 Core Clinic",IF(M51&lt;=13,"R3 Revenue &amp; Messaging",IF(M51&lt;=18,"R4 Patient &amp; Platform",IF(M51&lt;=20,"R5 Harden","R6 Launch")))))</f>
        <v/>
      </c>
      <c r="O51" s="70">
        <f>L51*README!$B$32</f>
        <v/>
      </c>
      <c r="P51" s="68" t="inlineStr">
        <is>
          <t>NB-049, NB-040</t>
        </is>
      </c>
      <c r="Q51" s="68" t="inlineStr">
        <is>
          <t>Automated test asserts 403 for every role/endpoint pair not granted</t>
        </is>
      </c>
      <c r="R51" s="68" t="inlineStr">
        <is>
          <t>Done</t>
        </is>
      </c>
      <c r="S51" s="68" t="n"/>
    </row>
    <row r="52" ht="23.85" customHeight="1" s="51">
      <c r="A52" s="62" t="inlineStr">
        <is>
          <t>NB-051</t>
        </is>
      </c>
      <c r="B52" s="62" t="inlineStr">
        <is>
          <t>E06 RBAC &amp; Permissions</t>
        </is>
      </c>
      <c r="C52" s="62" t="inlineStr">
        <is>
          <t>RBAC</t>
        </is>
      </c>
      <c r="D52" s="62" t="inlineStr">
        <is>
          <t>Row-level scoping — own patients vs all clinic patients</t>
        </is>
      </c>
      <c r="E52" s="62" t="inlineStr">
        <is>
          <t>Enforced in the query, not by post-filtering.</t>
        </is>
      </c>
      <c r="F52" s="62" t="n"/>
      <c r="G52" s="62" t="inlineStr">
        <is>
          <t>Doctor</t>
        </is>
      </c>
      <c r="H52" s="62" t="inlineStr">
        <is>
          <t>Clinic</t>
        </is>
      </c>
      <c r="I52" s="62" t="inlineStr">
        <is>
          <t>Backend</t>
        </is>
      </c>
      <c r="J52" s="66" t="inlineStr">
        <is>
          <t>Must</t>
        </is>
      </c>
      <c r="K52" s="66" t="inlineStr">
        <is>
          <t>MVP</t>
        </is>
      </c>
      <c r="L52" s="66" t="n">
        <v>8</v>
      </c>
      <c r="M52" s="66" t="n">
        <v>6</v>
      </c>
      <c r="N52" s="62">
        <f>IF(M52&lt;=4,"R1 Foundation",IF(M52&lt;=8,"R2 Core Clinic",IF(M52&lt;=13,"R3 Revenue &amp; Messaging",IF(M52&lt;=18,"R4 Patient &amp; Platform",IF(M52&lt;=20,"R5 Harden","R6 Launch")))))</f>
        <v/>
      </c>
      <c r="O52" s="67">
        <f>L52*README!$B$32</f>
        <v/>
      </c>
      <c r="P52" s="62" t="inlineStr">
        <is>
          <t>NB-050</t>
        </is>
      </c>
      <c r="Q52" s="62" t="inlineStr">
        <is>
          <t>Direct-ID access to another doctor's patient returns 404, not 403</t>
        </is>
      </c>
      <c r="R52" s="62" t="inlineStr">
        <is>
          <t>Done</t>
        </is>
      </c>
      <c r="S52" s="62" t="n"/>
    </row>
    <row r="53" ht="23.85" customHeight="1" s="51">
      <c r="A53" s="68" t="inlineStr">
        <is>
          <t>NB-052</t>
        </is>
      </c>
      <c r="B53" s="68" t="inlineStr">
        <is>
          <t>E06 RBAC &amp; Permissions</t>
        </is>
      </c>
      <c r="C53" s="68" t="inlineStr">
        <is>
          <t>RBAC</t>
        </is>
      </c>
      <c r="D53" s="68" t="inlineStr">
        <is>
          <t>Field-level restrictions</t>
        </is>
      </c>
      <c r="E53" s="68" t="inlineStr">
        <is>
          <t>No financial fields, no refund, no discount, vitals-and-vaccines-only custom grants.</t>
        </is>
      </c>
      <c r="F53" s="68" t="n"/>
      <c r="G53" s="68" t="inlineStr">
        <is>
          <t>Reception,Nurse</t>
        </is>
      </c>
      <c r="H53" s="68" t="inlineStr">
        <is>
          <t>Clinic</t>
        </is>
      </c>
      <c r="I53" s="68" t="inlineStr">
        <is>
          <t>Backend</t>
        </is>
      </c>
      <c r="J53" s="69" t="inlineStr">
        <is>
          <t>Must</t>
        </is>
      </c>
      <c r="K53" s="69" t="inlineStr">
        <is>
          <t>MVP</t>
        </is>
      </c>
      <c r="L53" s="69" t="n">
        <v>5</v>
      </c>
      <c r="M53" s="69" t="n">
        <v>6</v>
      </c>
      <c r="N53" s="68">
        <f>IF(M53&lt;=4,"R1 Foundation",IF(M53&lt;=8,"R2 Core Clinic",IF(M53&lt;=13,"R3 Revenue &amp; Messaging",IF(M53&lt;=18,"R4 Patient &amp; Platform",IF(M53&lt;=20,"R5 Harden","R6 Launch")))))</f>
        <v/>
      </c>
      <c r="O53" s="70">
        <f>L53*README!$B$32</f>
        <v/>
      </c>
      <c r="P53" s="68" t="inlineStr">
        <is>
          <t>NB-050</t>
        </is>
      </c>
      <c r="Q53" s="68" t="inlineStr">
        <is>
          <t>Restricted fields are absent from the API response, not merely hidden</t>
        </is>
      </c>
      <c r="R53" s="68" t="inlineStr">
        <is>
          <t>Done</t>
        </is>
      </c>
      <c r="S53" s="68" t="n"/>
    </row>
    <row r="54" ht="23.85" customHeight="1" s="51">
      <c r="A54" s="62" t="inlineStr">
        <is>
          <t>NB-053</t>
        </is>
      </c>
      <c r="B54" s="62" t="inlineStr">
        <is>
          <t>E06 RBAC &amp; Permissions</t>
        </is>
      </c>
      <c r="C54" s="62" t="inlineStr">
        <is>
          <t>RBAC</t>
        </is>
      </c>
      <c r="D54" s="62" t="inlineStr">
        <is>
          <t>Consent checked at query level</t>
        </is>
      </c>
      <c r="E54" s="62" t="inlineStr">
        <is>
          <t>Consent state is evaluated in the data access path, not in the UI — a withdrawn consent removes the data from results.</t>
        </is>
      </c>
      <c r="F54" s="62" t="inlineStr">
        <is>
          <t>NFR-08,CMP-02</t>
        </is>
      </c>
      <c r="G54" s="62" t="inlineStr">
        <is>
          <t>All</t>
        </is>
      </c>
      <c r="H54" s="62" t="inlineStr">
        <is>
          <t>Shared</t>
        </is>
      </c>
      <c r="I54" s="62" t="inlineStr">
        <is>
          <t>Backend</t>
        </is>
      </c>
      <c r="J54" s="66" t="inlineStr">
        <is>
          <t>Must</t>
        </is>
      </c>
      <c r="K54" s="66" t="inlineStr">
        <is>
          <t>MVP</t>
        </is>
      </c>
      <c r="L54" s="66" t="n">
        <v>8</v>
      </c>
      <c r="M54" s="66" t="n">
        <v>7</v>
      </c>
      <c r="N54" s="62">
        <f>IF(M54&lt;=4,"R1 Foundation",IF(M54&lt;=8,"R2 Core Clinic",IF(M54&lt;=13,"R3 Revenue &amp; Messaging",IF(M54&lt;=18,"R4 Patient &amp; Platform",IF(M54&lt;=20,"R5 Harden","R6 Launch")))))</f>
        <v/>
      </c>
      <c r="O54" s="67">
        <f>L54*README!$B$32</f>
        <v/>
      </c>
      <c r="P54" s="62" t="inlineStr">
        <is>
          <t>NB-050, NB-003</t>
        </is>
      </c>
      <c r="Q54" s="62" t="inlineStr">
        <is>
          <t>Query-level consent check demonstrated; bypassing the UI does not expose consent-gated data</t>
        </is>
      </c>
      <c r="R54" s="62" t="inlineStr">
        <is>
          <t>Done</t>
        </is>
      </c>
      <c r="S54" s="62" t="n"/>
    </row>
    <row r="55" ht="35.05" customHeight="1" s="51">
      <c r="A55" s="68" t="inlineStr">
        <is>
          <t>NB-054</t>
        </is>
      </c>
      <c r="B55" s="68" t="inlineStr">
        <is>
          <t>E06 RBAC &amp; Permissions</t>
        </is>
      </c>
      <c r="C55" s="68" t="inlineStr">
        <is>
          <t>RBAC</t>
        </is>
      </c>
      <c r="D55" s="68" t="inlineStr">
        <is>
          <t>UI permission rendering contract</t>
        </is>
      </c>
      <c r="E55" s="68" t="inlineStr">
        <is>
          <t>Permission-restricted elements are absent, never disabled or greyed.</t>
        </is>
      </c>
      <c r="F55" s="68" t="inlineStr">
        <is>
          <t>SSA-02</t>
        </is>
      </c>
      <c r="G55" s="68" t="inlineStr">
        <is>
          <t>All</t>
        </is>
      </c>
      <c r="H55" s="68" t="inlineStr">
        <is>
          <t>Shared</t>
        </is>
      </c>
      <c r="I55" s="68" t="inlineStr">
        <is>
          <t>Frontend</t>
        </is>
      </c>
      <c r="J55" s="69" t="inlineStr">
        <is>
          <t>Must</t>
        </is>
      </c>
      <c r="K55" s="69" t="inlineStr">
        <is>
          <t>MVP</t>
        </is>
      </c>
      <c r="L55" s="69" t="n">
        <v>5</v>
      </c>
      <c r="M55" s="69" t="n">
        <v>6</v>
      </c>
      <c r="N55" s="68">
        <f>IF(M55&lt;=4,"R1 Foundation",IF(M55&lt;=8,"R2 Core Clinic",IF(M55&lt;=13,"R3 Revenue &amp; Messaging",IF(M55&lt;=18,"R4 Patient &amp; Platform",IF(M55&lt;=20,"R5 Harden","R6 Launch")))))</f>
        <v/>
      </c>
      <c r="O55" s="70">
        <f>L55*README!$B$32</f>
        <v/>
      </c>
      <c r="P55" s="68" t="inlineStr">
        <is>
          <t>NB-050, NB-013</t>
        </is>
      </c>
      <c r="Q55" s="68" t="inlineStr">
        <is>
          <t>Automated DOM assertion: no disabled element carries a permission reason; no create button exists for roles without create rights</t>
        </is>
      </c>
      <c r="R55" s="68" t="inlineStr">
        <is>
          <t>Done</t>
        </is>
      </c>
      <c r="S55" s="68" t="n"/>
    </row>
    <row r="56" ht="23.85" customHeight="1" s="51">
      <c r="A56" s="62" t="inlineStr">
        <is>
          <t>NB-055</t>
        </is>
      </c>
      <c r="B56" s="62" t="inlineStr">
        <is>
          <t>E06 RBAC &amp; Permissions</t>
        </is>
      </c>
      <c r="C56" s="62" t="inlineStr">
        <is>
          <t>RBAC</t>
        </is>
      </c>
      <c r="D56" s="62" t="inlineStr">
        <is>
          <t>Custom role builder &amp; permission matrix UI</t>
        </is>
      </c>
      <c r="E56" s="62" t="inlineStr">
        <is>
          <t>Owner-facing 640px matrix modal for bespoke roles.</t>
        </is>
      </c>
      <c r="F56" s="62" t="n"/>
      <c r="G56" s="62" t="inlineStr">
        <is>
          <t>Owner</t>
        </is>
      </c>
      <c r="H56" s="62" t="inlineStr">
        <is>
          <t>Clinic</t>
        </is>
      </c>
      <c r="I56" s="62" t="inlineStr">
        <is>
          <t>Frontend</t>
        </is>
      </c>
      <c r="J56" s="66" t="inlineStr">
        <is>
          <t>Should</t>
        </is>
      </c>
      <c r="K56" s="66" t="inlineStr">
        <is>
          <t>MVP</t>
        </is>
      </c>
      <c r="L56" s="66" t="n">
        <v>8</v>
      </c>
      <c r="M56" s="66" t="n">
        <v>9</v>
      </c>
      <c r="N56" s="62">
        <f>IF(M56&lt;=4,"R1 Foundation",IF(M56&lt;=8,"R2 Core Clinic",IF(M56&lt;=13,"R3 Revenue &amp; Messaging",IF(M56&lt;=18,"R4 Patient &amp; Platform",IF(M56&lt;=20,"R5 Harden","R6 Launch")))))</f>
        <v/>
      </c>
      <c r="O56" s="67">
        <f>L56*README!$B$32</f>
        <v/>
      </c>
      <c r="P56" s="62" t="inlineStr">
        <is>
          <t>NB-049</t>
        </is>
      </c>
      <c r="Q56" s="62" t="inlineStr">
        <is>
          <t>Owner can reproduce the wireframe's Front Desk + Vitals role</t>
        </is>
      </c>
      <c r="R56" s="62" t="inlineStr">
        <is>
          <t>Done</t>
        </is>
      </c>
      <c r="S56" s="62" t="n"/>
    </row>
    <row r="57" ht="23.85" customHeight="1" s="51">
      <c r="A57" s="68" t="inlineStr">
        <is>
          <t>NB-056</t>
        </is>
      </c>
      <c r="B57" s="68" t="inlineStr">
        <is>
          <t>E06 RBAC &amp; Permissions</t>
        </is>
      </c>
      <c r="C57" s="68" t="inlineStr">
        <is>
          <t>RBAC</t>
        </is>
      </c>
      <c r="D57" s="68" t="inlineStr">
        <is>
          <t>Approval workflows &amp; maker-checker</t>
        </is>
      </c>
      <c r="E57" s="68" t="inlineStr">
        <is>
          <t>Refunds, discounts above threshold, clinical amendments and platform discount approvals all need a second approver.</t>
        </is>
      </c>
      <c r="F57" s="68" t="inlineStr">
        <is>
          <t>SYS-06</t>
        </is>
      </c>
      <c r="G57" s="68" t="inlineStr">
        <is>
          <t>Owner,Reception</t>
        </is>
      </c>
      <c r="H57" s="68" t="inlineStr">
        <is>
          <t>Shared</t>
        </is>
      </c>
      <c r="I57" s="68" t="inlineStr">
        <is>
          <t>Fullstack</t>
        </is>
      </c>
      <c r="J57" s="69" t="inlineStr">
        <is>
          <t>Must</t>
        </is>
      </c>
      <c r="K57" s="69" t="inlineStr">
        <is>
          <t>MVP</t>
        </is>
      </c>
      <c r="L57" s="69" t="n">
        <v>8</v>
      </c>
      <c r="M57" s="69" t="n">
        <v>10</v>
      </c>
      <c r="N57" s="68">
        <f>IF(M57&lt;=4,"R1 Foundation",IF(M57&lt;=8,"R2 Core Clinic",IF(M57&lt;=13,"R3 Revenue &amp; Messaging",IF(M57&lt;=18,"R4 Patient &amp; Platform",IF(M57&lt;=20,"R5 Harden","R6 Launch")))))</f>
        <v/>
      </c>
      <c r="O57" s="70">
        <f>L57*README!$B$32</f>
        <v/>
      </c>
      <c r="P57" s="68" t="inlineStr">
        <is>
          <t>NB-050, NB-238</t>
        </is>
      </c>
      <c r="Q57" s="68" t="inlineStr">
        <is>
          <t>Self-approval blocked; approval chain visible in the audit log</t>
        </is>
      </c>
      <c r="R57" s="68" t="inlineStr">
        <is>
          <t>Done</t>
        </is>
      </c>
      <c r="S57" s="68" t="n"/>
    </row>
    <row r="58" ht="23.85" customHeight="1" s="51">
      <c r="A58" s="62" t="inlineStr">
        <is>
          <t>NB-057</t>
        </is>
      </c>
      <c r="B58" s="62" t="inlineStr">
        <is>
          <t>E06 RBAC &amp; Permissions</t>
        </is>
      </c>
      <c r="C58" s="62" t="inlineStr">
        <is>
          <t>RBAC</t>
        </is>
      </c>
      <c r="D58" s="62" t="inlineStr">
        <is>
          <t>Delegation &amp; temporary access grants</t>
        </is>
      </c>
      <c r="E58" s="62" t="inlineStr">
        <is>
          <t>Cover a doctor's leave without permanently widening rights; auto-expiring.</t>
        </is>
      </c>
      <c r="F58" s="62" t="n"/>
      <c r="G58" s="62" t="inlineStr">
        <is>
          <t>Owner</t>
        </is>
      </c>
      <c r="H58" s="62" t="inlineStr">
        <is>
          <t>Clinic</t>
        </is>
      </c>
      <c r="I58" s="62" t="inlineStr">
        <is>
          <t>Backend</t>
        </is>
      </c>
      <c r="J58" s="66" t="inlineStr">
        <is>
          <t>Could</t>
        </is>
      </c>
      <c r="K58" s="66" t="inlineStr">
        <is>
          <t>Phase 2</t>
        </is>
      </c>
      <c r="L58" s="66" t="n">
        <v>5</v>
      </c>
      <c r="M58" s="66" t="n">
        <v>18</v>
      </c>
      <c r="N58" s="62">
        <f>IF(M58&lt;=4,"R1 Foundation",IF(M58&lt;=8,"R2 Core Clinic",IF(M58&lt;=13,"R3 Revenue &amp; Messaging",IF(M58&lt;=18,"R4 Patient &amp; Platform",IF(M58&lt;=20,"R5 Harden","R6 Launch")))))</f>
        <v/>
      </c>
      <c r="O58" s="67">
        <f>L58*README!$B$32</f>
        <v/>
      </c>
      <c r="P58" s="62" t="inlineStr">
        <is>
          <t>NB-049</t>
        </is>
      </c>
      <c r="Q58" s="62" t="inlineStr">
        <is>
          <t>Grant expires on schedule and the expiry is audited</t>
        </is>
      </c>
      <c r="R58" s="62" t="inlineStr">
        <is>
          <t>Done</t>
        </is>
      </c>
      <c r="S58" s="62" t="n"/>
    </row>
    <row r="59" ht="35.05" customHeight="1" s="51">
      <c r="A59" s="68" t="inlineStr">
        <is>
          <t>NB-058</t>
        </is>
      </c>
      <c r="B59" s="68" t="inlineStr">
        <is>
          <t>E06 RBAC &amp; Permissions</t>
        </is>
      </c>
      <c r="C59" s="68" t="inlineStr">
        <is>
          <t>RBAC</t>
        </is>
      </c>
      <c r="D59" s="68" t="inlineStr">
        <is>
          <t>Subscription vs permission state separation</t>
        </is>
      </c>
      <c r="E59" s="68" t="inlineStr">
        <is>
          <t>Subscription-unavailable modules appear only in Catalog/Plan/Setup with historical data still readable; permission-restricted ones vanish entirely.</t>
        </is>
      </c>
      <c r="F59" s="68" t="inlineStr">
        <is>
          <t>DENT-06,DENT-07,DERM-04,DERM-07</t>
        </is>
      </c>
      <c r="G59" s="68" t="inlineStr">
        <is>
          <t>All</t>
        </is>
      </c>
      <c r="H59" s="68" t="inlineStr">
        <is>
          <t>Shared</t>
        </is>
      </c>
      <c r="I59" s="68" t="inlineStr">
        <is>
          <t>Frontend</t>
        </is>
      </c>
      <c r="J59" s="69" t="inlineStr">
        <is>
          <t>Must</t>
        </is>
      </c>
      <c r="K59" s="69" t="inlineStr">
        <is>
          <t>MVP</t>
        </is>
      </c>
      <c r="L59" s="69" t="n">
        <v>5</v>
      </c>
      <c r="M59" s="69" t="n">
        <v>9</v>
      </c>
      <c r="N59" s="68">
        <f>IF(M59&lt;=4,"R1 Foundation",IF(M59&lt;=8,"R2 Core Clinic",IF(M59&lt;=13,"R3 Revenue &amp; Messaging",IF(M59&lt;=18,"R4 Patient &amp; Platform",IF(M59&lt;=20,"R5 Harden","R6 Launch")))))</f>
        <v/>
      </c>
      <c r="O59" s="70">
        <f>L59*README!$B$32</f>
        <v/>
      </c>
      <c r="P59" s="68" t="inlineStr">
        <is>
          <t>NB-008, NB-054</t>
        </is>
      </c>
      <c r="Q59" s="68" t="inlineStr">
        <is>
          <t>Both states verified; ending a trial leaves historical data readable</t>
        </is>
      </c>
      <c r="R59" s="68" t="inlineStr">
        <is>
          <t>Not started</t>
        </is>
      </c>
      <c r="S59" s="68" t="n"/>
    </row>
    <row r="60" ht="23.85" customHeight="1" s="51">
      <c r="A60" s="62" t="inlineStr">
        <is>
          <t>NB-059</t>
        </is>
      </c>
      <c r="B60" s="62" t="inlineStr">
        <is>
          <t>E06 RBAC &amp; Permissions</t>
        </is>
      </c>
      <c r="C60" s="62" t="inlineStr">
        <is>
          <t>RBAC</t>
        </is>
      </c>
      <c r="D60" s="62" t="inlineStr">
        <is>
          <t>Staff &amp; Access screen</t>
        </is>
      </c>
      <c r="E60" s="62" t="inlineStr">
        <is>
          <t>Staff list, status, scope summary, last-seen and role chips.</t>
        </is>
      </c>
      <c r="F60" s="62" t="n"/>
      <c r="G60" s="62" t="inlineStr">
        <is>
          <t>Owner</t>
        </is>
      </c>
      <c r="H60" s="62" t="inlineStr">
        <is>
          <t>Clinic</t>
        </is>
      </c>
      <c r="I60" s="62" t="inlineStr">
        <is>
          <t>Frontend</t>
        </is>
      </c>
      <c r="J60" s="66" t="inlineStr">
        <is>
          <t>Must</t>
        </is>
      </c>
      <c r="K60" s="66" t="inlineStr">
        <is>
          <t>MVP</t>
        </is>
      </c>
      <c r="L60" s="66" t="n">
        <v>5</v>
      </c>
      <c r="M60" s="66" t="n">
        <v>9</v>
      </c>
      <c r="N60" s="62">
        <f>IF(M60&lt;=4,"R1 Foundation",IF(M60&lt;=8,"R2 Core Clinic",IF(M60&lt;=13,"R3 Revenue &amp; Messaging",IF(M60&lt;=18,"R4 Patient &amp; Platform",IF(M60&lt;=20,"R5 Harden","R6 Launch")))))</f>
        <v/>
      </c>
      <c r="O60" s="67">
        <f>L60*README!$B$32</f>
        <v/>
      </c>
      <c r="P60" s="62" t="inlineStr">
        <is>
          <t>NB-049, NB-045</t>
        </is>
      </c>
      <c r="Q60" s="62" t="inlineStr">
        <is>
          <t>Screen matches the wireframe; every action permission-gated</t>
        </is>
      </c>
      <c r="R60" s="62" t="inlineStr">
        <is>
          <t>Done</t>
        </is>
      </c>
      <c r="S60" s="62" t="n"/>
    </row>
    <row r="61" ht="35.05" customHeight="1" s="51">
      <c r="A61" s="68" t="inlineStr">
        <is>
          <t>NB-060</t>
        </is>
      </c>
      <c r="B61" s="68" t="inlineStr">
        <is>
          <t>E07 Clinic Setup &amp; Administration</t>
        </is>
      </c>
      <c r="C61" s="68" t="inlineStr">
        <is>
          <t>Setup</t>
        </is>
      </c>
      <c r="D61" s="68" t="inlineStr">
        <is>
          <t>Guided clinic setup wizard — skippable and resumable</t>
        </is>
      </c>
      <c r="E61" s="68" t="inlineStr">
        <is>
          <t>Welcome, clinic profile, and the remaining steps. Every step can be skipped and resumed; fully self-serve with no support intervention.</t>
        </is>
      </c>
      <c r="F61" s="68" t="inlineStr">
        <is>
          <t>CAD-01,SYS-21,NFR-18</t>
        </is>
      </c>
      <c r="G61" s="68" t="inlineStr">
        <is>
          <t>Owner</t>
        </is>
      </c>
      <c r="H61" s="68" t="inlineStr">
        <is>
          <t>Clinic</t>
        </is>
      </c>
      <c r="I61" s="68" t="inlineStr">
        <is>
          <t>Fullstack</t>
        </is>
      </c>
      <c r="J61" s="69" t="inlineStr">
        <is>
          <t>Must</t>
        </is>
      </c>
      <c r="K61" s="69" t="inlineStr">
        <is>
          <t>MVP</t>
        </is>
      </c>
      <c r="L61" s="69" t="n">
        <v>13</v>
      </c>
      <c r="M61" s="69" t="n">
        <v>7</v>
      </c>
      <c r="N61" s="68">
        <f>IF(M61&lt;=4,"R1 Foundation",IF(M61&lt;=8,"R2 Core Clinic",IF(M61&lt;=13,"R3 Revenue &amp; Messaging",IF(M61&lt;=18,"R4 Patient &amp; Platform",IF(M61&lt;=20,"R5 Harden","R6 Launch")))))</f>
        <v/>
      </c>
      <c r="O61" s="70">
        <f>L61*README!$B$32</f>
        <v/>
      </c>
      <c r="P61" s="68" t="inlineStr">
        <is>
          <t>NB-261, NB-017</t>
        </is>
      </c>
      <c r="Q61" s="68" t="inlineStr">
        <is>
          <t>A new clinic goes live unaided; closing the wizard mid-way and returning resumes at the same step</t>
        </is>
      </c>
      <c r="R61" s="68" t="inlineStr">
        <is>
          <t>Done</t>
        </is>
      </c>
      <c r="S61" s="68" t="n"/>
    </row>
    <row r="62" ht="23.85" customHeight="1" s="51">
      <c r="A62" s="62" t="inlineStr">
        <is>
          <t>NB-061</t>
        </is>
      </c>
      <c r="B62" s="62" t="inlineStr">
        <is>
          <t>E07 Clinic Setup &amp; Administration</t>
        </is>
      </c>
      <c r="C62" s="62" t="inlineStr">
        <is>
          <t>Setup</t>
        </is>
      </c>
      <c r="D62" s="62" t="inlineStr">
        <is>
          <t>Charge head / price master management</t>
        </is>
      </c>
      <c r="E62" s="62" t="inlineStr">
        <is>
          <t>Effective-dated service codes, categories, INR/SAR prices, GST/VAT rates, package eligibility and active flag.</t>
        </is>
      </c>
      <c r="F62" s="62" t="inlineStr">
        <is>
          <t>CAD-04</t>
        </is>
      </c>
      <c r="G62" s="62" t="inlineStr">
        <is>
          <t>Owner</t>
        </is>
      </c>
      <c r="H62" s="62" t="inlineStr">
        <is>
          <t>Clinic</t>
        </is>
      </c>
      <c r="I62" s="62" t="inlineStr">
        <is>
          <t>Fullstack</t>
        </is>
      </c>
      <c r="J62" s="66" t="inlineStr">
        <is>
          <t>Must</t>
        </is>
      </c>
      <c r="K62" s="66" t="inlineStr">
        <is>
          <t>MVP</t>
        </is>
      </c>
      <c r="L62" s="66" t="n">
        <v>8</v>
      </c>
      <c r="M62" s="66" t="n">
        <v>8</v>
      </c>
      <c r="N62" s="62">
        <f>IF(M62&lt;=4,"R1 Foundation",IF(M62&lt;=8,"R2 Core Clinic",IF(M62&lt;=13,"R3 Revenue &amp; Messaging",IF(M62&lt;=18,"R4 Patient &amp; Platform",IF(M62&lt;=20,"R5 Harden","R6 Launch")))))</f>
        <v/>
      </c>
      <c r="O62" s="67">
        <f>L62*README!$B$32</f>
        <v/>
      </c>
      <c r="P62" s="62" t="inlineStr">
        <is>
          <t>NB-010</t>
        </is>
      </c>
      <c r="Q62" s="62" t="inlineStr">
        <is>
          <t>Reproduces the wireframe's 24 charge heads with effective-dated pricing</t>
        </is>
      </c>
      <c r="R62" s="62" t="inlineStr">
        <is>
          <t>Done</t>
        </is>
      </c>
      <c r="S62" s="62" t="n"/>
    </row>
    <row r="63" ht="23.85" customHeight="1" s="51">
      <c r="A63" s="68" t="inlineStr">
        <is>
          <t>NB-062</t>
        </is>
      </c>
      <c r="B63" s="68" t="inlineStr">
        <is>
          <t>E07 Clinic Setup &amp; Administration</t>
        </is>
      </c>
      <c r="C63" s="68" t="inlineStr">
        <is>
          <t>Setup</t>
        </is>
      </c>
      <c r="D63" s="68" t="inlineStr">
        <is>
          <t>Simple policy settings</t>
        </is>
      </c>
      <c r="E63" s="68" t="inlineStr">
        <is>
          <t>Clinic-level operational policies exposed as plain settings, not a rules engine.</t>
        </is>
      </c>
      <c r="F63" s="68" t="inlineStr">
        <is>
          <t>CAD-06</t>
        </is>
      </c>
      <c r="G63" s="68" t="inlineStr">
        <is>
          <t>Owner</t>
        </is>
      </c>
      <c r="H63" s="68" t="inlineStr">
        <is>
          <t>Clinic</t>
        </is>
      </c>
      <c r="I63" s="68" t="inlineStr">
        <is>
          <t>Fullstack</t>
        </is>
      </c>
      <c r="J63" s="69" t="inlineStr">
        <is>
          <t>Must</t>
        </is>
      </c>
      <c r="K63" s="69" t="inlineStr">
        <is>
          <t>MVP</t>
        </is>
      </c>
      <c r="L63" s="69" t="n">
        <v>5</v>
      </c>
      <c r="M63" s="69" t="n">
        <v>10</v>
      </c>
      <c r="N63" s="68">
        <f>IF(M63&lt;=4,"R1 Foundation",IF(M63&lt;=8,"R2 Core Clinic",IF(M63&lt;=13,"R3 Revenue &amp; Messaging",IF(M63&lt;=18,"R4 Patient &amp; Platform",IF(M63&lt;=20,"R5 Harden","R6 Launch")))))</f>
        <v/>
      </c>
      <c r="O63" s="70">
        <f>L63*README!$B$32</f>
        <v/>
      </c>
      <c r="P63" s="68" t="inlineStr">
        <is>
          <t>NB-060</t>
        </is>
      </c>
      <c r="Q63" s="68" t="inlineStr">
        <is>
          <t>Policy changes take effect without a redeploy and are audited</t>
        </is>
      </c>
      <c r="R63" s="68" t="inlineStr">
        <is>
          <t>Done</t>
        </is>
      </c>
      <c r="S63" s="68" t="n"/>
    </row>
    <row r="64" ht="23.85" customHeight="1" s="51">
      <c r="A64" s="62" t="inlineStr">
        <is>
          <t>NB-063</t>
        </is>
      </c>
      <c r="B64" s="62" t="inlineStr">
        <is>
          <t>E07 Clinic Setup &amp; Administration</t>
        </is>
      </c>
      <c r="C64" s="62" t="inlineStr">
        <is>
          <t>Setup</t>
        </is>
      </c>
      <c r="D64" s="62" t="inlineStr">
        <is>
          <t>Consent &amp; privacy notice contact settings</t>
        </is>
      </c>
      <c r="E64" s="62" t="inlineStr">
        <is>
          <t>Contact details only — the template library itself lives in Compliance &amp; Audit.</t>
        </is>
      </c>
      <c r="F64" s="62" t="inlineStr">
        <is>
          <t>CAD-08</t>
        </is>
      </c>
      <c r="G64" s="62" t="inlineStr">
        <is>
          <t>Owner</t>
        </is>
      </c>
      <c r="H64" s="62" t="inlineStr">
        <is>
          <t>Clinic</t>
        </is>
      </c>
      <c r="I64" s="62" t="inlineStr">
        <is>
          <t>Frontend</t>
        </is>
      </c>
      <c r="J64" s="66" t="inlineStr">
        <is>
          <t>Must</t>
        </is>
      </c>
      <c r="K64" s="66" t="inlineStr">
        <is>
          <t>MVP</t>
        </is>
      </c>
      <c r="L64" s="66" t="n">
        <v>3</v>
      </c>
      <c r="M64" s="66" t="n">
        <v>11</v>
      </c>
      <c r="N64" s="62">
        <f>IF(M64&lt;=4,"R1 Foundation",IF(M64&lt;=8,"R2 Core Clinic",IF(M64&lt;=13,"R3 Revenue &amp; Messaging",IF(M64&lt;=18,"R4 Patient &amp; Platform",IF(M64&lt;=20,"R5 Harden","R6 Launch")))))</f>
        <v/>
      </c>
      <c r="O64" s="67">
        <f>L64*README!$B$32</f>
        <v/>
      </c>
      <c r="P64" s="62" t="inlineStr">
        <is>
          <t>NB-240</t>
        </is>
      </c>
      <c r="Q64" s="62" t="inlineStr">
        <is>
          <t>Only contact fields are editable here; the library is reachable but not duplicated</t>
        </is>
      </c>
      <c r="R64" s="62" t="inlineStr">
        <is>
          <t>Done</t>
        </is>
      </c>
      <c r="S64" s="62" t="n"/>
    </row>
    <row r="65" ht="23.85" customHeight="1" s="51">
      <c r="A65" s="68" t="inlineStr">
        <is>
          <t>NB-064</t>
        </is>
      </c>
      <c r="B65" s="68" t="inlineStr">
        <is>
          <t>E07 Clinic Setup &amp; Administration</t>
        </is>
      </c>
      <c r="C65" s="68" t="inlineStr">
        <is>
          <t>Setup</t>
        </is>
      </c>
      <c r="D65" s="68" t="inlineStr">
        <is>
          <t>Clinic schedule &amp; calendar administration</t>
        </is>
      </c>
      <c r="E65" s="68" t="inlineStr">
        <is>
          <t>Working hours, visit-type durations, holidays and clinic-wide calendar rules.</t>
        </is>
      </c>
      <c r="F65" s="68" t="inlineStr">
        <is>
          <t>CAD-05</t>
        </is>
      </c>
      <c r="G65" s="68" t="inlineStr">
        <is>
          <t>Owner</t>
        </is>
      </c>
      <c r="H65" s="68" t="inlineStr">
        <is>
          <t>Clinic</t>
        </is>
      </c>
      <c r="I65" s="68" t="inlineStr">
        <is>
          <t>Fullstack</t>
        </is>
      </c>
      <c r="J65" s="69" t="inlineStr">
        <is>
          <t>Must</t>
        </is>
      </c>
      <c r="K65" s="69" t="inlineStr">
        <is>
          <t>MVP</t>
        </is>
      </c>
      <c r="L65" s="69" t="n">
        <v>8</v>
      </c>
      <c r="M65" s="69" t="n">
        <v>8</v>
      </c>
      <c r="N65" s="68">
        <f>IF(M65&lt;=4,"R1 Foundation",IF(M65&lt;=8,"R2 Core Clinic",IF(M65&lt;=13,"R3 Revenue &amp; Messaging",IF(M65&lt;=18,"R4 Patient &amp; Platform",IF(M65&lt;=20,"R5 Harden","R6 Launch")))))</f>
        <v/>
      </c>
      <c r="O65" s="70">
        <f>L65*README!$B$32</f>
        <v/>
      </c>
      <c r="P65" s="68" t="inlineStr">
        <is>
          <t>NB-060</t>
        </is>
      </c>
      <c r="Q65" s="68" t="inlineStr">
        <is>
          <t>Visit-type durations drive slot generation; holidays block booking</t>
        </is>
      </c>
      <c r="R65" s="68" t="inlineStr">
        <is>
          <t>Done</t>
        </is>
      </c>
      <c r="S65" s="68" t="n"/>
    </row>
    <row r="66" ht="23.85" customHeight="1" s="51">
      <c r="A66" s="62" t="inlineStr">
        <is>
          <t>NB-065</t>
        </is>
      </c>
      <c r="B66" s="62" t="inlineStr">
        <is>
          <t>E07 Clinic Setup &amp; Administration</t>
        </is>
      </c>
      <c r="C66" s="62" t="inlineStr">
        <is>
          <t>Setup</t>
        </is>
      </c>
      <c r="D66" s="62" t="inlineStr">
        <is>
          <t>Shift timings &amp; attendance</t>
        </is>
      </c>
      <c r="E66" s="62" t="inlineStr">
        <is>
          <t>Staff shift patterns and attendance capture.</t>
        </is>
      </c>
      <c r="F66" s="62" t="inlineStr">
        <is>
          <t>CAD-09</t>
        </is>
      </c>
      <c r="G66" s="62" t="inlineStr">
        <is>
          <t>Owner</t>
        </is>
      </c>
      <c r="H66" s="62" t="inlineStr">
        <is>
          <t>Clinic</t>
        </is>
      </c>
      <c r="I66" s="62" t="inlineStr">
        <is>
          <t>Fullstack</t>
        </is>
      </c>
      <c r="J66" s="66" t="inlineStr">
        <is>
          <t>Could</t>
        </is>
      </c>
      <c r="K66" s="66" t="inlineStr">
        <is>
          <t>Phase 2</t>
        </is>
      </c>
      <c r="L66" s="66" t="n">
        <v>8</v>
      </c>
      <c r="M66" s="66" t="n">
        <v>19</v>
      </c>
      <c r="N66" s="62">
        <f>IF(M66&lt;=4,"R1 Foundation",IF(M66&lt;=8,"R2 Core Clinic",IF(M66&lt;=13,"R3 Revenue &amp; Messaging",IF(M66&lt;=18,"R4 Patient &amp; Platform",IF(M66&lt;=20,"R5 Harden","R6 Launch")))))</f>
        <v/>
      </c>
      <c r="O66" s="67">
        <f>L66*README!$B$32</f>
        <v/>
      </c>
      <c r="P66" s="62" t="inlineStr">
        <is>
          <t>NB-092</t>
        </is>
      </c>
      <c r="Q66" s="62" t="inlineStr">
        <is>
          <t>Shift roster drives the payroll export; attendance editable with audit</t>
        </is>
      </c>
      <c r="R66" s="62" t="inlineStr">
        <is>
          <t>Done</t>
        </is>
      </c>
      <c r="S66" s="62" t="n"/>
    </row>
    <row r="67" ht="23.85" customHeight="1" s="51">
      <c r="A67" s="68" t="inlineStr">
        <is>
          <t>NB-066</t>
        </is>
      </c>
      <c r="B67" s="68" t="inlineStr">
        <is>
          <t>E07 Clinic Setup &amp; Administration</t>
        </is>
      </c>
      <c r="C67" s="68" t="inlineStr">
        <is>
          <t>Setup</t>
        </is>
      </c>
      <c r="D67" s="68" t="inlineStr">
        <is>
          <t>Simple payroll export</t>
        </is>
      </c>
      <c r="E67" s="68" t="inlineStr">
        <is>
          <t>CSV of days, hours, salary and notes with optional PF/ESI columns. There is deliberately no payroll engine.</t>
        </is>
      </c>
      <c r="F67" s="68" t="inlineStr">
        <is>
          <t>CAD-10</t>
        </is>
      </c>
      <c r="G67" s="68" t="inlineStr">
        <is>
          <t>Owner</t>
        </is>
      </c>
      <c r="H67" s="68" t="inlineStr">
        <is>
          <t>Clinic</t>
        </is>
      </c>
      <c r="I67" s="68" t="inlineStr">
        <is>
          <t>Fullstack</t>
        </is>
      </c>
      <c r="J67" s="69" t="inlineStr">
        <is>
          <t>Should</t>
        </is>
      </c>
      <c r="K67" s="69" t="inlineStr">
        <is>
          <t>MVP</t>
        </is>
      </c>
      <c r="L67" s="69" t="n">
        <v>5</v>
      </c>
      <c r="M67" s="69" t="n">
        <v>17</v>
      </c>
      <c r="N67" s="68">
        <f>IF(M67&lt;=4,"R1 Foundation",IF(M67&lt;=8,"R2 Core Clinic",IF(M67&lt;=13,"R3 Revenue &amp; Messaging",IF(M67&lt;=18,"R4 Patient &amp; Platform",IF(M67&lt;=20,"R5 Harden","R6 Launch")))))</f>
        <v/>
      </c>
      <c r="O67" s="70">
        <f>L67*README!$B$32</f>
        <v/>
      </c>
      <c r="P67" s="68" t="inlineStr">
        <is>
          <t>NB-092</t>
        </is>
      </c>
      <c r="Q67" s="68" t="inlineStr">
        <is>
          <t>CSV opens in Excel without cleanup; no calculation engine is built</t>
        </is>
      </c>
      <c r="R67" s="68" t="inlineStr">
        <is>
          <t>Done</t>
        </is>
      </c>
      <c r="S67" s="68" t="n"/>
    </row>
    <row r="68" ht="23.85" customHeight="1" s="51">
      <c r="A68" s="62" t="inlineStr">
        <is>
          <t>NB-067</t>
        </is>
      </c>
      <c r="B68" s="62" t="inlineStr">
        <is>
          <t>E07 Clinic Setup &amp; Administration</t>
        </is>
      </c>
      <c r="C68" s="62" t="inlineStr">
        <is>
          <t>Setup</t>
        </is>
      </c>
      <c r="D68" s="62" t="inlineStr">
        <is>
          <t>Tenant subscription &amp; plan self-service</t>
        </is>
      </c>
      <c r="E68" s="62" t="inlineStr">
        <is>
          <t>Current plan, usage against limits, and upgrade or downgrade taking effect in under five minutes with no data loss.</t>
        </is>
      </c>
      <c r="F68" s="62" t="inlineStr">
        <is>
          <t>CAD-13,SYS-20</t>
        </is>
      </c>
      <c r="G68" s="62" t="inlineStr">
        <is>
          <t>Owner</t>
        </is>
      </c>
      <c r="H68" s="62" t="inlineStr">
        <is>
          <t>Clinic</t>
        </is>
      </c>
      <c r="I68" s="62" t="inlineStr">
        <is>
          <t>Fullstack</t>
        </is>
      </c>
      <c r="J68" s="66" t="inlineStr">
        <is>
          <t>Should</t>
        </is>
      </c>
      <c r="K68" s="66" t="inlineStr">
        <is>
          <t>Phase 3</t>
        </is>
      </c>
      <c r="L68" s="66" t="n">
        <v>8</v>
      </c>
      <c r="M68" s="66" t="n">
        <v>20</v>
      </c>
      <c r="N68" s="62">
        <f>IF(M68&lt;=4,"R1 Foundation",IF(M68&lt;=8,"R2 Core Clinic",IF(M68&lt;=13,"R3 Revenue &amp; Messaging",IF(M68&lt;=18,"R4 Patient &amp; Platform",IF(M68&lt;=20,"R5 Harden","R6 Launch")))))</f>
        <v/>
      </c>
      <c r="O68" s="67">
        <f>L68*README!$B$32</f>
        <v/>
      </c>
      <c r="P68" s="62" t="inlineStr">
        <is>
          <t>NB-008, NB-269</t>
        </is>
      </c>
      <c r="Q68" s="62" t="inlineStr">
        <is>
          <t>Plan change completes under 5 minutes; no data is lost in either direction</t>
        </is>
      </c>
      <c r="R68" s="62" t="inlineStr">
        <is>
          <t>Done</t>
        </is>
      </c>
      <c r="S68" s="62" t="n"/>
    </row>
    <row r="69" ht="15" customHeight="1" s="51">
      <c r="A69" s="68" t="inlineStr">
        <is>
          <t>NB-068</t>
        </is>
      </c>
      <c r="B69" s="68" t="inlineStr">
        <is>
          <t>E07 Clinic Setup &amp; Administration</t>
        </is>
      </c>
      <c r="C69" s="68" t="inlineStr">
        <is>
          <t>Setup</t>
        </is>
      </c>
      <c r="D69" s="68" t="inlineStr">
        <is>
          <t>Self-serve data import &amp; export</t>
        </is>
      </c>
      <c r="E69" s="68" t="inlineStr">
        <is>
          <t>Import wizard and full export without support involvement.</t>
        </is>
      </c>
      <c r="F69" s="68" t="inlineStr">
        <is>
          <t>SYS-23,NFR-18</t>
        </is>
      </c>
      <c r="G69" s="68" t="inlineStr">
        <is>
          <t>Owner</t>
        </is>
      </c>
      <c r="H69" s="68" t="inlineStr">
        <is>
          <t>Clinic</t>
        </is>
      </c>
      <c r="I69" s="68" t="inlineStr">
        <is>
          <t>Fullstack</t>
        </is>
      </c>
      <c r="J69" s="69" t="inlineStr">
        <is>
          <t>Must</t>
        </is>
      </c>
      <c r="K69" s="69" t="inlineStr">
        <is>
          <t>MVP</t>
        </is>
      </c>
      <c r="L69" s="69" t="n">
        <v>8</v>
      </c>
      <c r="M69" s="69" t="n">
        <v>15</v>
      </c>
      <c r="N69" s="68">
        <f>IF(M69&lt;=4,"R1 Foundation",IF(M69&lt;=8,"R2 Core Clinic",IF(M69&lt;=13,"R3 Revenue &amp; Messaging",IF(M69&lt;=18,"R4 Patient &amp; Platform",IF(M69&lt;=20,"R5 Harden","R6 Launch")))))</f>
        <v/>
      </c>
      <c r="O69" s="70">
        <f>L69*README!$B$32</f>
        <v/>
      </c>
      <c r="P69" s="68" t="inlineStr">
        <is>
          <t>NB-003, NB-071</t>
        </is>
      </c>
      <c r="Q69" s="68" t="inlineStr">
        <is>
          <t>Import dry-runs before writing; export completes unaided</t>
        </is>
      </c>
      <c r="R69" s="68" t="inlineStr">
        <is>
          <t>Done</t>
        </is>
      </c>
      <c r="S69" s="68" t="n"/>
    </row>
    <row r="70" ht="23.85" customHeight="1" s="51">
      <c r="A70" s="62" t="inlineStr">
        <is>
          <t>NB-069</t>
        </is>
      </c>
      <c r="B70" s="62" t="inlineStr">
        <is>
          <t>E07 Clinic Setup &amp; Administration</t>
        </is>
      </c>
      <c r="C70" s="62" t="inlineStr">
        <is>
          <t>Setup</t>
        </is>
      </c>
      <c r="D70" s="62" t="inlineStr">
        <is>
          <t>Setup completeness checklist</t>
        </is>
      </c>
      <c r="E70" s="62" t="inlineStr">
        <is>
          <t>The clinic sees what is still outstanding — price master, WhatsApp number, screen pairing — with a direct route to each.</t>
        </is>
      </c>
      <c r="F70" s="62" t="inlineStr">
        <is>
          <t>CAD-01,RCP-14,CAD-07</t>
        </is>
      </c>
      <c r="G70" s="62" t="inlineStr">
        <is>
          <t>Owner</t>
        </is>
      </c>
      <c r="H70" s="62" t="inlineStr">
        <is>
          <t>Clinic</t>
        </is>
      </c>
      <c r="I70" s="62" t="inlineStr">
        <is>
          <t>Frontend</t>
        </is>
      </c>
      <c r="J70" s="66" t="inlineStr">
        <is>
          <t>Should</t>
        </is>
      </c>
      <c r="K70" s="66" t="inlineStr">
        <is>
          <t>MVP</t>
        </is>
      </c>
      <c r="L70" s="66" t="n">
        <v>3</v>
      </c>
      <c r="M70" s="66" t="n">
        <v>12</v>
      </c>
      <c r="N70" s="62">
        <f>IF(M70&lt;=4,"R1 Foundation",IF(M70&lt;=8,"R2 Core Clinic",IF(M70&lt;=13,"R3 Revenue &amp; Messaging",IF(M70&lt;=18,"R4 Patient &amp; Platform",IF(M70&lt;=20,"R5 Harden","R6 Launch")))))</f>
        <v/>
      </c>
      <c r="O70" s="67">
        <f>L70*README!$B$32</f>
        <v/>
      </c>
      <c r="P70" s="62" t="inlineStr">
        <is>
          <t>NB-060</t>
        </is>
      </c>
      <c r="Q70" s="62" t="inlineStr">
        <is>
          <t>Checklist state derives from real configuration, never a manual tick</t>
        </is>
      </c>
      <c r="R70" s="62" t="inlineStr">
        <is>
          <t>Done</t>
        </is>
      </c>
      <c r="S70" s="62" t="n"/>
    </row>
    <row r="71" ht="23.85" customHeight="1" s="51">
      <c r="A71" s="68" t="inlineStr">
        <is>
          <t>NB-070</t>
        </is>
      </c>
      <c r="B71" s="68" t="inlineStr">
        <is>
          <t>E07 Clinic Setup &amp; Administration</t>
        </is>
      </c>
      <c r="C71" s="68" t="inlineStr">
        <is>
          <t>Setup</t>
        </is>
      </c>
      <c r="D71" s="68" t="inlineStr">
        <is>
          <t>Facility &amp; licence registry</t>
        </is>
      </c>
      <c r="E71" s="68" t="inlineStr">
        <is>
          <t>Clinic facility record, licence numbers and registration identifiers used on invoices and claim packs.</t>
        </is>
      </c>
      <c r="F71" s="68" t="inlineStr">
        <is>
          <t>CMP-11,BIL-11</t>
        </is>
      </c>
      <c r="G71" s="68" t="inlineStr">
        <is>
          <t>Owner</t>
        </is>
      </c>
      <c r="H71" s="68" t="inlineStr">
        <is>
          <t>Clinic</t>
        </is>
      </c>
      <c r="I71" s="68" t="inlineStr">
        <is>
          <t>Backend</t>
        </is>
      </c>
      <c r="J71" s="69" t="inlineStr">
        <is>
          <t>Must</t>
        </is>
      </c>
      <c r="K71" s="69" t="inlineStr">
        <is>
          <t>MVP</t>
        </is>
      </c>
      <c r="L71" s="69" t="n">
        <v>5</v>
      </c>
      <c r="M71" s="69" t="n">
        <v>11</v>
      </c>
      <c r="N71" s="68">
        <f>IF(M71&lt;=4,"R1 Foundation",IF(M71&lt;=8,"R2 Core Clinic",IF(M71&lt;=13,"R3 Revenue &amp; Messaging",IF(M71&lt;=18,"R4 Patient &amp; Platform",IF(M71&lt;=20,"R5 Harden","R6 Launch")))))</f>
        <v/>
      </c>
      <c r="O71" s="70">
        <f>L71*README!$B$32</f>
        <v/>
      </c>
      <c r="P71" s="68" t="inlineStr">
        <is>
          <t>NB-060</t>
        </is>
      </c>
      <c r="Q71" s="68" t="inlineStr">
        <is>
          <t>Licence number is available to the claim pack and invoice generators</t>
        </is>
      </c>
      <c r="R71" s="68" t="inlineStr">
        <is>
          <t>Done</t>
        </is>
      </c>
      <c r="S71" s="68" t="n"/>
    </row>
    <row r="72" ht="23.85" customHeight="1" s="51">
      <c r="A72" s="62" t="inlineStr">
        <is>
          <t>NB-071</t>
        </is>
      </c>
      <c r="B72" s="62" t="inlineStr">
        <is>
          <t>E08 Patient Records &amp; Registration</t>
        </is>
      </c>
      <c r="C72" s="62" t="inlineStr">
        <is>
          <t>Patients</t>
        </is>
      </c>
      <c r="D72" s="62" t="inlineStr">
        <is>
          <t>Patient registration &amp; demographics</t>
        </is>
      </c>
      <c r="E72" s="62" t="inlineStr">
        <is>
          <t>Multi-script names, phone, DOB, gender, guardian, address and national ID (Aadhaar / Iqama) handling.</t>
        </is>
      </c>
      <c r="F72" s="62" t="inlineStr">
        <is>
          <t>PAT-01</t>
        </is>
      </c>
      <c r="G72" s="62" t="inlineStr">
        <is>
          <t>Reception</t>
        </is>
      </c>
      <c r="H72" s="62" t="inlineStr">
        <is>
          <t>Clinic</t>
        </is>
      </c>
      <c r="I72" s="62" t="inlineStr">
        <is>
          <t>Fullstack</t>
        </is>
      </c>
      <c r="J72" s="66" t="inlineStr">
        <is>
          <t>Must</t>
        </is>
      </c>
      <c r="K72" s="66" t="inlineStr">
        <is>
          <t>MVP</t>
        </is>
      </c>
      <c r="L72" s="66" t="n">
        <v>8</v>
      </c>
      <c r="M72" s="66" t="n">
        <v>6</v>
      </c>
      <c r="N72" s="62">
        <f>IF(M72&lt;=4,"R1 Foundation",IF(M72&lt;=8,"R2 Core Clinic",IF(M72&lt;=13,"R3 Revenue &amp; Messaging",IF(M72&lt;=18,"R4 Patient &amp; Platform",IF(M72&lt;=20,"R5 Harden","R6 Launch")))))</f>
        <v/>
      </c>
      <c r="O72" s="67">
        <f>L72*README!$B$32</f>
        <v/>
      </c>
      <c r="P72" s="62" t="inlineStr">
        <is>
          <t>NB-003, NB-013</t>
        </is>
      </c>
      <c r="Q72" s="62" t="inlineStr">
        <is>
          <t>Arabic and Devanagari names store, search and print correctly</t>
        </is>
      </c>
      <c r="R72" s="62" t="inlineStr">
        <is>
          <t>Done</t>
        </is>
      </c>
      <c r="S72" s="62" t="n"/>
    </row>
    <row r="73" ht="23.85" customHeight="1" s="51">
      <c r="A73" s="68" t="inlineStr">
        <is>
          <t>NB-072</t>
        </is>
      </c>
      <c r="B73" s="68" t="inlineStr">
        <is>
          <t>E08 Patient Records &amp; Registration</t>
        </is>
      </c>
      <c r="C73" s="68" t="inlineStr">
        <is>
          <t>Patients</t>
        </is>
      </c>
      <c r="D73" s="68" t="inlineStr">
        <is>
          <t>Duplicate detection &amp; supervised merge</t>
        </is>
      </c>
      <c r="E73" s="68" t="inlineStr">
        <is>
          <t>Fuzzy match on registration; merge preserves every encounter and invoice and is reversible.</t>
        </is>
      </c>
      <c r="F73" s="68" t="n"/>
      <c r="G73" s="68" t="inlineStr">
        <is>
          <t>Reception,Owner</t>
        </is>
      </c>
      <c r="H73" s="68" t="inlineStr">
        <is>
          <t>Clinic</t>
        </is>
      </c>
      <c r="I73" s="68" t="inlineStr">
        <is>
          <t>Backend</t>
        </is>
      </c>
      <c r="J73" s="69" t="inlineStr">
        <is>
          <t>Must</t>
        </is>
      </c>
      <c r="K73" s="69" t="inlineStr">
        <is>
          <t>MVP</t>
        </is>
      </c>
      <c r="L73" s="69" t="n">
        <v>8</v>
      </c>
      <c r="M73" s="69" t="n">
        <v>11</v>
      </c>
      <c r="N73" s="68">
        <f>IF(M73&lt;=4,"R1 Foundation",IF(M73&lt;=8,"R2 Core Clinic",IF(M73&lt;=13,"R3 Revenue &amp; Messaging",IF(M73&lt;=18,"R4 Patient &amp; Platform",IF(M73&lt;=20,"R5 Harden","R6 Launch")))))</f>
        <v/>
      </c>
      <c r="O73" s="70">
        <f>L73*README!$B$32</f>
        <v/>
      </c>
      <c r="P73" s="68" t="inlineStr">
        <is>
          <t>NB-071</t>
        </is>
      </c>
      <c r="Q73" s="68" t="inlineStr">
        <is>
          <t>Merge is reversible for 30 days and fully audited</t>
        </is>
      </c>
      <c r="R73" s="68" t="inlineStr">
        <is>
          <t>Done</t>
        </is>
      </c>
      <c r="S73" s="68" t="n"/>
    </row>
    <row r="74" ht="23.85" customHeight="1" s="51">
      <c r="A74" s="62" t="inlineStr">
        <is>
          <t>NB-073</t>
        </is>
      </c>
      <c r="B74" s="62" t="inlineStr">
        <is>
          <t>E08 Patient Records &amp; Registration</t>
        </is>
      </c>
      <c r="C74" s="62" t="inlineStr">
        <is>
          <t>Patients</t>
        </is>
      </c>
      <c r="D74" s="62" t="inlineStr">
        <is>
          <t>Patient search &amp; directory</t>
        </is>
      </c>
      <c r="E74" s="62" t="inlineStr">
        <is>
          <t>Fast search by phone, name, token or MRN across scripts, scoped by role.</t>
        </is>
      </c>
      <c r="F74" s="62" t="n"/>
      <c r="G74" s="62" t="inlineStr">
        <is>
          <t>Reception,Doctor,Nurse</t>
        </is>
      </c>
      <c r="H74" s="62" t="inlineStr">
        <is>
          <t>Clinic</t>
        </is>
      </c>
      <c r="I74" s="62" t="inlineStr">
        <is>
          <t>Fullstack</t>
        </is>
      </c>
      <c r="J74" s="66" t="inlineStr">
        <is>
          <t>Must</t>
        </is>
      </c>
      <c r="K74" s="66" t="inlineStr">
        <is>
          <t>MVP</t>
        </is>
      </c>
      <c r="L74" s="66" t="n">
        <v>5</v>
      </c>
      <c r="M74" s="66" t="n">
        <v>7</v>
      </c>
      <c r="N74" s="62">
        <f>IF(M74&lt;=4,"R1 Foundation",IF(M74&lt;=8,"R2 Core Clinic",IF(M74&lt;=13,"R3 Revenue &amp; Messaging",IF(M74&lt;=18,"R4 Patient &amp; Platform",IF(M74&lt;=20,"R5 Harden","R6 Launch")))))</f>
        <v/>
      </c>
      <c r="O74" s="67">
        <f>L74*README!$B$32</f>
        <v/>
      </c>
      <c r="P74" s="62" t="inlineStr">
        <is>
          <t>NB-071</t>
        </is>
      </c>
      <c r="Q74" s="62" t="inlineStr">
        <is>
          <t>p95 search under 300ms on 200k patients</t>
        </is>
      </c>
      <c r="R74" s="62" t="inlineStr">
        <is>
          <t>Done</t>
        </is>
      </c>
      <c r="S74" s="62" t="n"/>
    </row>
    <row r="75" ht="23.85" customHeight="1" s="51">
      <c r="A75" s="68" t="inlineStr">
        <is>
          <t>NB-074</t>
        </is>
      </c>
      <c r="B75" s="68" t="inlineStr">
        <is>
          <t>E08 Patient Records &amp; Registration</t>
        </is>
      </c>
      <c r="C75" s="68" t="inlineStr">
        <is>
          <t>Patients</t>
        </is>
      </c>
      <c r="D75" s="68" t="inlineStr">
        <is>
          <t>Patient 360 context drawer</t>
        </is>
      </c>
      <c r="E75" s="68" t="inlineStr">
        <is>
          <t>Identity, allergies, chronic conditions, active packages, outstanding balance, last visit.</t>
        </is>
      </c>
      <c r="F75" s="68" t="inlineStr">
        <is>
          <t>GP-02</t>
        </is>
      </c>
      <c r="G75" s="68" t="inlineStr">
        <is>
          <t>Doctor,Nurse,Reception</t>
        </is>
      </c>
      <c r="H75" s="68" t="inlineStr">
        <is>
          <t>Clinic</t>
        </is>
      </c>
      <c r="I75" s="68" t="inlineStr">
        <is>
          <t>Frontend</t>
        </is>
      </c>
      <c r="J75" s="69" t="inlineStr">
        <is>
          <t>Must</t>
        </is>
      </c>
      <c r="K75" s="69" t="inlineStr">
        <is>
          <t>MVP</t>
        </is>
      </c>
      <c r="L75" s="69" t="n">
        <v>8</v>
      </c>
      <c r="M75" s="69" t="n">
        <v>9</v>
      </c>
      <c r="N75" s="68">
        <f>IF(M75&lt;=4,"R1 Foundation",IF(M75&lt;=8,"R2 Core Clinic",IF(M75&lt;=13,"R3 Revenue &amp; Messaging",IF(M75&lt;=18,"R4 Patient &amp; Platform",IF(M75&lt;=20,"R5 Harden","R6 Launch")))))</f>
        <v/>
      </c>
      <c r="O75" s="70">
        <f>L75*README!$B$32</f>
        <v/>
      </c>
      <c r="P75" s="68" t="inlineStr">
        <is>
          <t>NB-071, NB-051</t>
        </is>
      </c>
      <c r="Q75" s="68" t="inlineStr">
        <is>
          <t>Opens under 500ms; allergy banner always visible</t>
        </is>
      </c>
      <c r="R75" s="68" t="inlineStr">
        <is>
          <t>Done</t>
        </is>
      </c>
      <c r="S75" s="68" t="n"/>
    </row>
    <row r="76" ht="23.85" customHeight="1" s="51">
      <c r="A76" s="62" t="inlineStr">
        <is>
          <t>NB-075</t>
        </is>
      </c>
      <c r="B76" s="62" t="inlineStr">
        <is>
          <t>E08 Patient Records &amp; Registration</t>
        </is>
      </c>
      <c r="C76" s="62" t="inlineStr">
        <is>
          <t>Patients</t>
        </is>
      </c>
      <c r="D76" s="62" t="inlineStr">
        <is>
          <t>Patient document &amp; report attachments</t>
        </is>
      </c>
      <c r="E76" s="62" t="inlineStr">
        <is>
          <t>Upload, virus scan, thumbnail and retention policy; feeds External Reports.</t>
        </is>
      </c>
      <c r="F76" s="62" t="inlineStr">
        <is>
          <t>SYS-18</t>
        </is>
      </c>
      <c r="G76" s="62" t="inlineStr">
        <is>
          <t>Doctor,Nurse</t>
        </is>
      </c>
      <c r="H76" s="62" t="inlineStr">
        <is>
          <t>Clinic</t>
        </is>
      </c>
      <c r="I76" s="62" t="inlineStr">
        <is>
          <t>Fullstack</t>
        </is>
      </c>
      <c r="J76" s="66" t="inlineStr">
        <is>
          <t>Must</t>
        </is>
      </c>
      <c r="K76" s="66" t="inlineStr">
        <is>
          <t>MVP</t>
        </is>
      </c>
      <c r="L76" s="66" t="n">
        <v>5</v>
      </c>
      <c r="M76" s="66" t="n">
        <v>12</v>
      </c>
      <c r="N76" s="62">
        <f>IF(M76&lt;=4,"R1 Foundation",IF(M76&lt;=8,"R2 Core Clinic",IF(M76&lt;=13,"R3 Revenue &amp; Messaging",IF(M76&lt;=18,"R4 Patient &amp; Platform",IF(M76&lt;=20,"R5 Harden","R6 Launch")))))</f>
        <v/>
      </c>
      <c r="O76" s="67">
        <f>L76*README!$B$32</f>
        <v/>
      </c>
      <c r="P76" s="62" t="inlineStr">
        <is>
          <t>NB-071, NB-292</t>
        </is>
      </c>
      <c r="Q76" s="62" t="inlineStr">
        <is>
          <t>Malicious file rejected; files encrypted at rest with the tenant key</t>
        </is>
      </c>
      <c r="R76" s="62" t="inlineStr">
        <is>
          <t>Not started</t>
        </is>
      </c>
      <c r="S76" s="62" t="n"/>
    </row>
    <row r="77" ht="23.85" customHeight="1" s="51">
      <c r="A77" s="68" t="inlineStr">
        <is>
          <t>NB-076</t>
        </is>
      </c>
      <c r="B77" s="68" t="inlineStr">
        <is>
          <t>E08 Patient Records &amp; Registration</t>
        </is>
      </c>
      <c r="C77" s="68" t="inlineStr">
        <is>
          <t>Patients</t>
        </is>
      </c>
      <c r="D77" s="68" t="inlineStr">
        <is>
          <t>Secure file delivery via expiring link</t>
        </is>
      </c>
      <c r="E77" s="68" t="inlineStr">
        <is>
          <t>A file is never sent into an open chat. Delivery is always an expiring, access-logged link.</t>
        </is>
      </c>
      <c r="F77" s="68" t="inlineStr">
        <is>
          <t>SYS-18,PAT-13</t>
        </is>
      </c>
      <c r="G77" s="68" t="inlineStr">
        <is>
          <t>Reception,Doctor,Patient</t>
        </is>
      </c>
      <c r="H77" s="68" t="inlineStr">
        <is>
          <t>Shared</t>
        </is>
      </c>
      <c r="I77" s="68" t="inlineStr">
        <is>
          <t>Backend</t>
        </is>
      </c>
      <c r="J77" s="69" t="inlineStr">
        <is>
          <t>Must</t>
        </is>
      </c>
      <c r="K77" s="69" t="inlineStr">
        <is>
          <t>MVP</t>
        </is>
      </c>
      <c r="L77" s="69" t="n">
        <v>5</v>
      </c>
      <c r="M77" s="69" t="n">
        <v>12</v>
      </c>
      <c r="N77" s="68">
        <f>IF(M77&lt;=4,"R1 Foundation",IF(M77&lt;=8,"R2 Core Clinic",IF(M77&lt;=13,"R3 Revenue &amp; Messaging",IF(M77&lt;=18,"R4 Patient &amp; Platform",IF(M77&lt;=20,"R5 Harden","R6 Launch")))))</f>
        <v/>
      </c>
      <c r="O77" s="70">
        <f>L77*README!$B$32</f>
        <v/>
      </c>
      <c r="P77" s="68" t="inlineStr">
        <is>
          <t>NB-292</t>
        </is>
      </c>
      <c r="Q77" s="68" t="inlineStr">
        <is>
          <t>No attachment is ever posted inline; link expires and every access is logged</t>
        </is>
      </c>
      <c r="R77" s="68" t="inlineStr">
        <is>
          <t>Not started</t>
        </is>
      </c>
      <c r="S77" s="68" t="n"/>
    </row>
    <row r="78" ht="23.85" customHeight="1" s="51">
      <c r="A78" s="62" t="inlineStr">
        <is>
          <t>NB-077</t>
        </is>
      </c>
      <c r="B78" s="62" t="inlineStr">
        <is>
          <t>E08 Patient Records &amp; Registration</t>
        </is>
      </c>
      <c r="C78" s="62" t="inlineStr">
        <is>
          <t>Patients</t>
        </is>
      </c>
      <c r="D78" s="62" t="inlineStr">
        <is>
          <t>Chronic condition &amp; problem list</t>
        </is>
      </c>
      <c r="E78" s="62" t="inlineStr">
        <is>
          <t>Carried forward between encounters and driving chronic-review due lists.</t>
        </is>
      </c>
      <c r="F78" s="62" t="inlineStr">
        <is>
          <t>GP-02</t>
        </is>
      </c>
      <c r="G78" s="62" t="inlineStr">
        <is>
          <t>Doctor</t>
        </is>
      </c>
      <c r="H78" s="62" t="inlineStr">
        <is>
          <t>Clinic</t>
        </is>
      </c>
      <c r="I78" s="62" t="inlineStr">
        <is>
          <t>Fullstack</t>
        </is>
      </c>
      <c r="J78" s="66" t="inlineStr">
        <is>
          <t>Must</t>
        </is>
      </c>
      <c r="K78" s="66" t="inlineStr">
        <is>
          <t>MVP</t>
        </is>
      </c>
      <c r="L78" s="66" t="n">
        <v>5</v>
      </c>
      <c r="M78" s="66" t="n">
        <v>12</v>
      </c>
      <c r="N78" s="62">
        <f>IF(M78&lt;=4,"R1 Foundation",IF(M78&lt;=8,"R2 Core Clinic",IF(M78&lt;=13,"R3 Revenue &amp; Messaging",IF(M78&lt;=18,"R4 Patient &amp; Platform",IF(M78&lt;=20,"R5 Harden","R6 Launch")))))</f>
        <v/>
      </c>
      <c r="O78" s="67">
        <f>L78*README!$B$32</f>
        <v/>
      </c>
      <c r="P78" s="62" t="inlineStr">
        <is>
          <t>NB-071</t>
        </is>
      </c>
      <c r="Q78" s="62" t="inlineStr">
        <is>
          <t>Chronic review due list is derived, not manually maintained</t>
        </is>
      </c>
      <c r="R78" s="62" t="inlineStr">
        <is>
          <t>Done</t>
        </is>
      </c>
      <c r="S78" s="62" t="n"/>
    </row>
    <row r="79" ht="23.85" customHeight="1" s="51">
      <c r="A79" s="68" t="inlineStr">
        <is>
          <t>NB-078</t>
        </is>
      </c>
      <c r="B79" s="68" t="inlineStr">
        <is>
          <t>E08 Patient Records &amp; Registration</t>
        </is>
      </c>
      <c r="C79" s="68" t="inlineStr">
        <is>
          <t>Patients</t>
        </is>
      </c>
      <c r="D79" s="68" t="inlineStr">
        <is>
          <t>Patient data export &amp; erasure execution</t>
        </is>
      </c>
      <c r="E79" s="68" t="inlineStr">
        <is>
          <t>Subject-access export and erasure honouring clinical retention and legal hold.</t>
        </is>
      </c>
      <c r="F79" s="68" t="inlineStr">
        <is>
          <t>CMP-03,PAT-14,NFR-07</t>
        </is>
      </c>
      <c r="G79" s="68" t="inlineStr">
        <is>
          <t>Owner</t>
        </is>
      </c>
      <c r="H79" s="68" t="inlineStr">
        <is>
          <t>Shared</t>
        </is>
      </c>
      <c r="I79" s="68" t="inlineStr">
        <is>
          <t>Backend</t>
        </is>
      </c>
      <c r="J79" s="69" t="inlineStr">
        <is>
          <t>Must</t>
        </is>
      </c>
      <c r="K79" s="69" t="inlineStr">
        <is>
          <t>MVP</t>
        </is>
      </c>
      <c r="L79" s="69" t="n">
        <v>5</v>
      </c>
      <c r="M79" s="69" t="n">
        <v>16</v>
      </c>
      <c r="N79" s="68">
        <f>IF(M79&lt;=4,"R1 Foundation",IF(M79&lt;=8,"R2 Core Clinic",IF(M79&lt;=13,"R3 Revenue &amp; Messaging",IF(M79&lt;=18,"R4 Patient &amp; Platform",IF(M79&lt;=20,"R5 Harden","R6 Launch")))))</f>
        <v/>
      </c>
      <c r="O79" s="70">
        <f>L79*README!$B$32</f>
        <v/>
      </c>
      <c r="P79" s="68" t="inlineStr">
        <is>
          <t>NB-238, NB-071</t>
        </is>
      </c>
      <c r="Q79" s="68" t="inlineStr">
        <is>
          <t>Export delivered within 72h as an expiring link; erasure respects statutory retention</t>
        </is>
      </c>
      <c r="R79" s="68" t="inlineStr">
        <is>
          <t>Not started</t>
        </is>
      </c>
      <c r="S79" s="68" t="n"/>
    </row>
    <row r="80" ht="23.85" customHeight="1" s="51">
      <c r="A80" s="62" t="inlineStr">
        <is>
          <t>NB-079</t>
        </is>
      </c>
      <c r="B80" s="62" t="inlineStr">
        <is>
          <t>E08 Patient Records &amp; Registration</t>
        </is>
      </c>
      <c r="C80" s="62" t="inlineStr">
        <is>
          <t>Patients</t>
        </is>
      </c>
      <c r="D80" s="62" t="inlineStr">
        <is>
          <t>Source tagging &amp; attribution capture</t>
        </is>
      </c>
      <c r="E80" s="62" t="inlineStr">
        <is>
          <t>One source tag per visit, never a dual axis. Feeds the owner's where-patients-come-from view.</t>
        </is>
      </c>
      <c r="F80" s="62" t="inlineStr">
        <is>
          <t>OWN-02,MKT-04</t>
        </is>
      </c>
      <c r="G80" s="62" t="inlineStr">
        <is>
          <t>Reception</t>
        </is>
      </c>
      <c r="H80" s="62" t="inlineStr">
        <is>
          <t>Clinic</t>
        </is>
      </c>
      <c r="I80" s="62" t="inlineStr">
        <is>
          <t>Backend</t>
        </is>
      </c>
      <c r="J80" s="66" t="inlineStr">
        <is>
          <t>Should</t>
        </is>
      </c>
      <c r="K80" s="66" t="inlineStr">
        <is>
          <t>MVP</t>
        </is>
      </c>
      <c r="L80" s="66" t="n">
        <v>3</v>
      </c>
      <c r="M80" s="66" t="n">
        <v>13</v>
      </c>
      <c r="N80" s="62">
        <f>IF(M80&lt;=4,"R1 Foundation",IF(M80&lt;=8,"R2 Core Clinic",IF(M80&lt;=13,"R3 Revenue &amp; Messaging",IF(M80&lt;=18,"R4 Patient &amp; Platform",IF(M80&lt;=20,"R5 Harden","R6 Launch")))))</f>
        <v/>
      </c>
      <c r="O80" s="67">
        <f>L80*README!$B$32</f>
        <v/>
      </c>
      <c r="P80" s="62" t="inlineStr">
        <is>
          <t>NB-071</t>
        </is>
      </c>
      <c r="Q80" s="62" t="inlineStr">
        <is>
          <t>Exactly one source tag per visit is enforced at write time</t>
        </is>
      </c>
      <c r="R80" s="62" t="inlineStr">
        <is>
          <t>Done</t>
        </is>
      </c>
      <c r="S80" s="62" t="n"/>
    </row>
    <row r="81" ht="23.85" customHeight="1" s="51">
      <c r="A81" s="68" t="inlineStr">
        <is>
          <t>NB-080</t>
        </is>
      </c>
      <c r="B81" s="68" t="inlineStr">
        <is>
          <t>E09 Caregiver, Family &amp; Guardianship</t>
        </is>
      </c>
      <c r="C81" s="68" t="inlineStr">
        <is>
          <t>Family</t>
        </is>
      </c>
      <c r="D81" s="68" t="inlineStr">
        <is>
          <t>One WhatsApp number, whole family</t>
        </is>
      </c>
      <c r="E81" s="68" t="inlineStr">
        <is>
          <t>A single member number shows no picker at all; multi-member numbers gain one. Booking stays within the six-tap budget.</t>
        </is>
      </c>
      <c r="F81" s="68" t="inlineStr">
        <is>
          <t>CGV-01,PAT-03</t>
        </is>
      </c>
      <c r="G81" s="68" t="inlineStr">
        <is>
          <t>Patient</t>
        </is>
      </c>
      <c r="H81" s="68" t="inlineStr">
        <is>
          <t>Patient</t>
        </is>
      </c>
      <c r="I81" s="68" t="inlineStr">
        <is>
          <t>Fullstack</t>
        </is>
      </c>
      <c r="J81" s="69" t="inlineStr">
        <is>
          <t>Must</t>
        </is>
      </c>
      <c r="K81" s="69" t="inlineStr">
        <is>
          <t>MVP</t>
        </is>
      </c>
      <c r="L81" s="69" t="n">
        <v>8</v>
      </c>
      <c r="M81" s="69" t="n">
        <v>14</v>
      </c>
      <c r="N81" s="68">
        <f>IF(M81&lt;=4,"R1 Foundation",IF(M81&lt;=8,"R2 Core Clinic",IF(M81&lt;=13,"R3 Revenue &amp; Messaging",IF(M81&lt;=18,"R4 Patient &amp; Platform",IF(M81&lt;=20,"R5 Harden","R6 Launch")))))</f>
        <v/>
      </c>
      <c r="O81" s="70">
        <f>L81*README!$B$32</f>
        <v/>
      </c>
      <c r="P81" s="68" t="inlineStr">
        <is>
          <t>NB-201, NB-071</t>
        </is>
      </c>
      <c r="Q81" s="68" t="inlineStr">
        <is>
          <t>Single-member numbers never see a picker; booking completes in six taps or fewer</t>
        </is>
      </c>
      <c r="R81" s="68" t="inlineStr">
        <is>
          <t>Not started</t>
        </is>
      </c>
      <c r="S81" s="68" t="n"/>
    </row>
    <row r="82" ht="23.85" customHeight="1" s="51">
      <c r="A82" s="62" t="inlineStr">
        <is>
          <t>NB-081</t>
        </is>
      </c>
      <c r="B82" s="62" t="inlineStr">
        <is>
          <t>E09 Caregiver, Family &amp; Guardianship</t>
        </is>
      </c>
      <c r="C82" s="62" t="inlineStr">
        <is>
          <t>Family</t>
        </is>
      </c>
      <c r="D82" s="62" t="inlineStr">
        <is>
          <t>Add family member with consent capture</t>
        </is>
      </c>
      <c r="E82" s="62" t="inlineStr">
        <is>
          <t>Five-step in-chat flow ending in explicit consent for that member.</t>
        </is>
      </c>
      <c r="F82" s="62" t="inlineStr">
        <is>
          <t>CGV-02</t>
        </is>
      </c>
      <c r="G82" s="62" t="inlineStr">
        <is>
          <t>Patient</t>
        </is>
      </c>
      <c r="H82" s="62" t="inlineStr">
        <is>
          <t>Patient</t>
        </is>
      </c>
      <c r="I82" s="62" t="inlineStr">
        <is>
          <t>Fullstack</t>
        </is>
      </c>
      <c r="J82" s="66" t="inlineStr">
        <is>
          <t>Must</t>
        </is>
      </c>
      <c r="K82" s="66" t="inlineStr">
        <is>
          <t>MVP</t>
        </is>
      </c>
      <c r="L82" s="66" t="n">
        <v>8</v>
      </c>
      <c r="M82" s="66" t="n">
        <v>14</v>
      </c>
      <c r="N82" s="62">
        <f>IF(M82&lt;=4,"R1 Foundation",IF(M82&lt;=8,"R2 Core Clinic",IF(M82&lt;=13,"R3 Revenue &amp; Messaging",IF(M82&lt;=18,"R4 Patient &amp; Platform",IF(M82&lt;=20,"R5 Harden","R6 Launch")))))</f>
        <v/>
      </c>
      <c r="O82" s="67">
        <f>L82*README!$B$32</f>
        <v/>
      </c>
      <c r="P82" s="62" t="inlineStr">
        <is>
          <t>NB-080, NB-242</t>
        </is>
      </c>
      <c r="Q82" s="62" t="inlineStr">
        <is>
          <t>Member cannot be added without recorded consent; each step is resumable</t>
        </is>
      </c>
      <c r="R82" s="62" t="inlineStr">
        <is>
          <t>Done</t>
        </is>
      </c>
      <c r="S82" s="62" t="n"/>
    </row>
    <row r="83" ht="23.85" customHeight="1" s="51">
      <c r="A83" s="68" t="inlineStr">
        <is>
          <t>NB-082</t>
        </is>
      </c>
      <c r="B83" s="68" t="inlineStr">
        <is>
          <t>E09 Caregiver, Family &amp; Guardianship</t>
        </is>
      </c>
      <c r="C83" s="68" t="inlineStr">
        <is>
          <t>Family</t>
        </is>
      </c>
      <c r="D83" s="68" t="inlineStr">
        <is>
          <t>Minor &amp; guardian handling with age-18 handover</t>
        </is>
      </c>
      <c r="E83" s="68" t="inlineStr">
        <is>
          <t>Turning 18 automatically raises a guardian-access review task and moves consent to the patient.</t>
        </is>
      </c>
      <c r="F83" s="68" t="inlineStr">
        <is>
          <t>CGV-03,PED-06,CMP-04</t>
        </is>
      </c>
      <c r="G83" s="68" t="inlineStr">
        <is>
          <t>Patient,Reception</t>
        </is>
      </c>
      <c r="H83" s="68" t="inlineStr">
        <is>
          <t>Patient</t>
        </is>
      </c>
      <c r="I83" s="68" t="inlineStr">
        <is>
          <t>Fullstack</t>
        </is>
      </c>
      <c r="J83" s="69" t="inlineStr">
        <is>
          <t>Must</t>
        </is>
      </c>
      <c r="K83" s="69" t="inlineStr">
        <is>
          <t>MVP</t>
        </is>
      </c>
      <c r="L83" s="69" t="n">
        <v>8</v>
      </c>
      <c r="M83" s="69" t="n">
        <v>15</v>
      </c>
      <c r="N83" s="68">
        <f>IF(M83&lt;=4,"R1 Foundation",IF(M83&lt;=8,"R2 Core Clinic",IF(M83&lt;=13,"R3 Revenue &amp; Messaging",IF(M83&lt;=18,"R4 Patient &amp; Platform",IF(M83&lt;=20,"R5 Harden","R6 Launch")))))</f>
        <v/>
      </c>
      <c r="O83" s="70">
        <f>L83*README!$B$32</f>
        <v/>
      </c>
      <c r="P83" s="68" t="inlineStr">
        <is>
          <t>NB-081</t>
        </is>
      </c>
      <c r="Q83" s="68" t="inlineStr">
        <is>
          <t>Age-18 transition fires automatically; consent stored separately per guardian</t>
        </is>
      </c>
      <c r="R83" s="68" t="inlineStr">
        <is>
          <t>Done</t>
        </is>
      </c>
      <c r="S83" s="68" t="n"/>
    </row>
    <row r="84" ht="23.85" customHeight="1" s="51">
      <c r="A84" s="62" t="inlineStr">
        <is>
          <t>NB-083</t>
        </is>
      </c>
      <c r="B84" s="62" t="inlineStr">
        <is>
          <t>E09 Caregiver, Family &amp; Guardianship</t>
        </is>
      </c>
      <c r="C84" s="62" t="inlineStr">
        <is>
          <t>Family</t>
        </is>
      </c>
      <c r="D84" s="62" t="inlineStr">
        <is>
          <t>Proxy booking, check-in &amp; queue updates</t>
        </is>
      </c>
      <c r="E84" s="62" t="inlineStr">
        <is>
          <t>A caregiver books and checks in for another member; reminders always name the actual patient.</t>
        </is>
      </c>
      <c r="F84" s="62" t="inlineStr">
        <is>
          <t>CGV-04</t>
        </is>
      </c>
      <c r="G84" s="62" t="inlineStr">
        <is>
          <t>Patient</t>
        </is>
      </c>
      <c r="H84" s="62" t="inlineStr">
        <is>
          <t>Patient</t>
        </is>
      </c>
      <c r="I84" s="62" t="inlineStr">
        <is>
          <t>Fullstack</t>
        </is>
      </c>
      <c r="J84" s="66" t="inlineStr">
        <is>
          <t>Must</t>
        </is>
      </c>
      <c r="K84" s="66" t="inlineStr">
        <is>
          <t>MVP</t>
        </is>
      </c>
      <c r="L84" s="66" t="n">
        <v>5</v>
      </c>
      <c r="M84" s="66" t="n">
        <v>15</v>
      </c>
      <c r="N84" s="62">
        <f>IF(M84&lt;=4,"R1 Foundation",IF(M84&lt;=8,"R2 Core Clinic",IF(M84&lt;=13,"R3 Revenue &amp; Messaging",IF(M84&lt;=18,"R4 Patient &amp; Platform",IF(M84&lt;=20,"R5 Harden","R6 Launch")))))</f>
        <v/>
      </c>
      <c r="O84" s="67">
        <f>L84*README!$B$32</f>
        <v/>
      </c>
      <c r="P84" s="62" t="inlineStr">
        <is>
          <t>NB-080, NB-202</t>
        </is>
      </c>
      <c r="Q84" s="62" t="inlineStr">
        <is>
          <t>Reminders name the patient, never the caregiver</t>
        </is>
      </c>
      <c r="R84" s="62" t="inlineStr">
        <is>
          <t>Not started</t>
        </is>
      </c>
      <c r="S84" s="62" t="n"/>
    </row>
    <row r="85" ht="23.85" customHeight="1" s="51">
      <c r="A85" s="68" t="inlineStr">
        <is>
          <t>NB-084</t>
        </is>
      </c>
      <c r="B85" s="68" t="inlineStr">
        <is>
          <t>E09 Caregiver, Family &amp; Guardianship</t>
        </is>
      </c>
      <c r="C85" s="68" t="inlineStr">
        <is>
          <t>Family</t>
        </is>
      </c>
      <c r="D85" s="68" t="inlineStr">
        <is>
          <t>Dual delivery of visit instructions</t>
        </is>
      </c>
      <c r="E85" s="68" t="inlineStr">
        <is>
          <t>Instructions reach both the patient and the nominated caregiver.</t>
        </is>
      </c>
      <c r="F85" s="68" t="inlineStr">
        <is>
          <t>CGV-05</t>
        </is>
      </c>
      <c r="G85" s="68" t="inlineStr">
        <is>
          <t>Patient</t>
        </is>
      </c>
      <c r="H85" s="68" t="inlineStr">
        <is>
          <t>Patient</t>
        </is>
      </c>
      <c r="I85" s="68" t="inlineStr">
        <is>
          <t>Fullstack</t>
        </is>
      </c>
      <c r="J85" s="69" t="inlineStr">
        <is>
          <t>Should</t>
        </is>
      </c>
      <c r="K85" s="69" t="inlineStr">
        <is>
          <t>MVP</t>
        </is>
      </c>
      <c r="L85" s="69" t="n">
        <v>5</v>
      </c>
      <c r="M85" s="69" t="n">
        <v>16</v>
      </c>
      <c r="N85" s="68">
        <f>IF(M85&lt;=4,"R1 Foundation",IF(M85&lt;=8,"R2 Core Clinic",IF(M85&lt;=13,"R3 Revenue &amp; Messaging",IF(M85&lt;=18,"R4 Patient &amp; Platform",IF(M85&lt;=20,"R5 Harden","R6 Launch")))))</f>
        <v/>
      </c>
      <c r="O85" s="70">
        <f>L85*README!$B$32</f>
        <v/>
      </c>
      <c r="P85" s="68" t="inlineStr">
        <is>
          <t>NB-083</t>
        </is>
      </c>
      <c r="Q85" s="68" t="inlineStr">
        <is>
          <t>Both recipients receive the message; delivery state tracked per recipient</t>
        </is>
      </c>
      <c r="R85" s="68" t="inlineStr">
        <is>
          <t>Not started</t>
        </is>
      </c>
      <c r="S85" s="68" t="n"/>
    </row>
    <row r="86" ht="23.85" customHeight="1" s="51">
      <c r="A86" s="62" t="inlineStr">
        <is>
          <t>NB-085</t>
        </is>
      </c>
      <c r="B86" s="62" t="inlineStr">
        <is>
          <t>E09 Caregiver, Family &amp; Guardianship</t>
        </is>
      </c>
      <c r="C86" s="62" t="inlineStr">
        <is>
          <t>Family</t>
        </is>
      </c>
      <c r="D86" s="62" t="inlineStr">
        <is>
          <t>Proxy revocation &amp; scope change</t>
        </is>
      </c>
      <c r="E86" s="62" t="inlineStr">
        <is>
          <t>A patient can revoke or narrow a caregiver's access at any time.</t>
        </is>
      </c>
      <c r="F86" s="62" t="inlineStr">
        <is>
          <t>CGV-06</t>
        </is>
      </c>
      <c r="G86" s="62" t="inlineStr">
        <is>
          <t>Patient</t>
        </is>
      </c>
      <c r="H86" s="62" t="inlineStr">
        <is>
          <t>Patient</t>
        </is>
      </c>
      <c r="I86" s="62" t="inlineStr">
        <is>
          <t>Fullstack</t>
        </is>
      </c>
      <c r="J86" s="66" t="inlineStr">
        <is>
          <t>Must</t>
        </is>
      </c>
      <c r="K86" s="66" t="inlineStr">
        <is>
          <t>MVP</t>
        </is>
      </c>
      <c r="L86" s="66" t="n">
        <v>5</v>
      </c>
      <c r="M86" s="66" t="n">
        <v>16</v>
      </c>
      <c r="N86" s="62">
        <f>IF(M86&lt;=4,"R1 Foundation",IF(M86&lt;=8,"R2 Core Clinic",IF(M86&lt;=13,"R3 Revenue &amp; Messaging",IF(M86&lt;=18,"R4 Patient &amp; Platform",IF(M86&lt;=20,"R5 Harden","R6 Launch")))))</f>
        <v/>
      </c>
      <c r="O86" s="67">
        <f>L86*README!$B$32</f>
        <v/>
      </c>
      <c r="P86" s="62" t="inlineStr">
        <is>
          <t>NB-081</t>
        </is>
      </c>
      <c r="Q86" s="62" t="inlineStr">
        <is>
          <t>Revocation takes effect immediately across every surface and is audited</t>
        </is>
      </c>
      <c r="R86" s="62" t="inlineStr">
        <is>
          <t>Done</t>
        </is>
      </c>
      <c r="S86" s="62" t="n"/>
    </row>
    <row r="87" ht="23.85" customHeight="1" s="51">
      <c r="A87" s="68" t="inlineStr">
        <is>
          <t>NB-086</t>
        </is>
      </c>
      <c r="B87" s="68" t="inlineStr">
        <is>
          <t>E09 Caregiver, Family &amp; Guardianship</t>
        </is>
      </c>
      <c r="C87" s="68" t="inlineStr">
        <is>
          <t>Family</t>
        </is>
      </c>
      <c r="D87" s="68" t="inlineStr">
        <is>
          <t>Family appointment batching</t>
        </is>
      </c>
      <c r="E87" s="68" t="inlineStr">
        <is>
          <t>Booking several family members into adjacent slots, degrading honestly when only some are free.</t>
        </is>
      </c>
      <c r="F87" s="68" t="inlineStr">
        <is>
          <t>CGV-07</t>
        </is>
      </c>
      <c r="G87" s="68" t="inlineStr">
        <is>
          <t>Patient,Reception</t>
        </is>
      </c>
      <c r="H87" s="68" t="inlineStr">
        <is>
          <t>Patient</t>
        </is>
      </c>
      <c r="I87" s="68" t="inlineStr">
        <is>
          <t>Fullstack</t>
        </is>
      </c>
      <c r="J87" s="69" t="inlineStr">
        <is>
          <t>Should</t>
        </is>
      </c>
      <c r="K87" s="69" t="inlineStr">
        <is>
          <t>Phase 2</t>
        </is>
      </c>
      <c r="L87" s="69" t="n">
        <v>8</v>
      </c>
      <c r="M87" s="69" t="n">
        <v>18</v>
      </c>
      <c r="N87" s="68">
        <f>IF(M87&lt;=4,"R1 Foundation",IF(M87&lt;=8,"R2 Core Clinic",IF(M87&lt;=13,"R3 Revenue &amp; Messaging",IF(M87&lt;=18,"R4 Patient &amp; Platform",IF(M87&lt;=20,"R5 Harden","R6 Launch")))))</f>
        <v/>
      </c>
      <c r="O87" s="70">
        <f>L87*README!$B$32</f>
        <v/>
      </c>
      <c r="P87" s="68" t="inlineStr">
        <is>
          <t>NB-083</t>
        </is>
      </c>
      <c r="Q87" s="68" t="inlineStr">
        <is>
          <t>Partial availability is stated explicitly rather than silently dropping a member</t>
        </is>
      </c>
      <c r="R87" s="68" t="inlineStr">
        <is>
          <t>Not started</t>
        </is>
      </c>
      <c r="S87" s="68" t="n"/>
    </row>
    <row r="88" ht="23.85" customHeight="1" s="51">
      <c r="A88" s="62" t="inlineStr">
        <is>
          <t>NB-087</t>
        </is>
      </c>
      <c r="B88" s="62" t="inlineStr">
        <is>
          <t>E09 Caregiver, Family &amp; Guardianship</t>
        </is>
      </c>
      <c r="C88" s="62" t="inlineStr">
        <is>
          <t>Family</t>
        </is>
      </c>
      <c r="D88" s="62" t="inlineStr">
        <is>
          <t>Elderly-parent care alerts</t>
        </is>
      </c>
      <c r="E88" s="62" t="inlineStr">
        <is>
          <t>Adult children receive care alerts for an elderly parent within the consented scope.</t>
        </is>
      </c>
      <c r="F88" s="62" t="inlineStr">
        <is>
          <t>CGV-09</t>
        </is>
      </c>
      <c r="G88" s="62" t="inlineStr">
        <is>
          <t>Patient</t>
        </is>
      </c>
      <c r="H88" s="62" t="inlineStr">
        <is>
          <t>Patient</t>
        </is>
      </c>
      <c r="I88" s="62" t="inlineStr">
        <is>
          <t>Fullstack</t>
        </is>
      </c>
      <c r="J88" s="66" t="inlineStr">
        <is>
          <t>Could</t>
        </is>
      </c>
      <c r="K88" s="66" t="inlineStr">
        <is>
          <t>Phase 2</t>
        </is>
      </c>
      <c r="L88" s="66" t="n">
        <v>5</v>
      </c>
      <c r="M88" s="66" t="n">
        <v>19</v>
      </c>
      <c r="N88" s="62">
        <f>IF(M88&lt;=4,"R1 Foundation",IF(M88&lt;=8,"R2 Core Clinic",IF(M88&lt;=13,"R3 Revenue &amp; Messaging",IF(M88&lt;=18,"R4 Patient &amp; Platform",IF(M88&lt;=20,"R5 Harden","R6 Launch")))))</f>
        <v/>
      </c>
      <c r="O88" s="67">
        <f>L88*README!$B$32</f>
        <v/>
      </c>
      <c r="P88" s="62" t="inlineStr">
        <is>
          <t>NB-085</t>
        </is>
      </c>
      <c r="Q88" s="62" t="inlineStr">
        <is>
          <t>Alerts respect the consent scope and stop on revocation</t>
        </is>
      </c>
      <c r="R88" s="62" t="inlineStr">
        <is>
          <t>Not started</t>
        </is>
      </c>
      <c r="S88" s="62" t="n"/>
    </row>
    <row r="89" ht="23.85" customHeight="1" s="51">
      <c r="A89" s="68" t="inlineStr">
        <is>
          <t>NB-088</t>
        </is>
      </c>
      <c r="B89" s="68" t="inlineStr">
        <is>
          <t>E09 Caregiver, Family &amp; Guardianship</t>
        </is>
      </c>
      <c r="C89" s="68" t="inlineStr">
        <is>
          <t>Family</t>
        </is>
      </c>
      <c r="D89" s="68" t="inlineStr">
        <is>
          <t>Family plan / package sharing</t>
        </is>
      </c>
      <c r="E89" s="68" t="inlineStr">
        <is>
          <t>Sharing package sessions across family members.</t>
        </is>
      </c>
      <c r="F89" s="68" t="inlineStr">
        <is>
          <t>CGV-10,PAT-24,CEO-15</t>
        </is>
      </c>
      <c r="G89" s="68" t="inlineStr">
        <is>
          <t>Patient,Reception</t>
        </is>
      </c>
      <c r="H89" s="68" t="inlineStr">
        <is>
          <t>Patient</t>
        </is>
      </c>
      <c r="I89" s="68" t="inlineStr">
        <is>
          <t>Fullstack</t>
        </is>
      </c>
      <c r="J89" s="69" t="inlineStr">
        <is>
          <t>Could</t>
        </is>
      </c>
      <c r="K89" s="69" t="inlineStr">
        <is>
          <t>Phase 3</t>
        </is>
      </c>
      <c r="L89" s="69" t="n">
        <v>8</v>
      </c>
      <c r="M89" s="69" t="n">
        <v>21</v>
      </c>
      <c r="N89" s="68">
        <f>IF(M89&lt;=4,"R1 Foundation",IF(M89&lt;=8,"R2 Core Clinic",IF(M89&lt;=13,"R3 Revenue &amp; Messaging",IF(M89&lt;=18,"R4 Patient &amp; Platform",IF(M89&lt;=20,"R5 Harden","R6 Launch")))))</f>
        <v/>
      </c>
      <c r="O89" s="70">
        <f>L89*README!$B$32</f>
        <v/>
      </c>
      <c r="P89" s="68" t="inlineStr">
        <is>
          <t>NB-153, NB-080</t>
        </is>
      </c>
      <c r="Q89" s="68" t="inlineStr">
        <is>
          <t>Positioned as a booking and check-in convenience plan, never a clinical care contract</t>
        </is>
      </c>
      <c r="R89" s="68" t="inlineStr">
        <is>
          <t>Not started</t>
        </is>
      </c>
      <c r="S89" s="68" t="n"/>
    </row>
    <row r="90" ht="23.85" customHeight="1" s="51">
      <c r="A90" s="62" t="inlineStr">
        <is>
          <t>NB-089</t>
        </is>
      </c>
      <c r="B90" s="62" t="inlineStr">
        <is>
          <t>E09 Caregiver, Family &amp; Guardianship</t>
        </is>
      </c>
      <c r="C90" s="62" t="inlineStr">
        <is>
          <t>Family</t>
        </is>
      </c>
      <c r="D90" s="62" t="inlineStr">
        <is>
          <t>Child marketing block across every module</t>
        </is>
      </c>
      <c r="E90" s="62" t="inlineStr">
        <is>
          <t>Child profiles never receive marketing, enforced pre-emptively at campaign check.</t>
        </is>
      </c>
      <c r="F90" s="62" t="inlineStr">
        <is>
          <t>DPO-09,CMP-04</t>
        </is>
      </c>
      <c r="G90" s="62" t="inlineStr">
        <is>
          <t>All</t>
        </is>
      </c>
      <c r="H90" s="62" t="inlineStr">
        <is>
          <t>Shared</t>
        </is>
      </c>
      <c r="I90" s="62" t="inlineStr">
        <is>
          <t>Backend</t>
        </is>
      </c>
      <c r="J90" s="66" t="inlineStr">
        <is>
          <t>Must</t>
        </is>
      </c>
      <c r="K90" s="66" t="inlineStr">
        <is>
          <t>MVP</t>
        </is>
      </c>
      <c r="L90" s="66" t="n">
        <v>5</v>
      </c>
      <c r="M90" s="66" t="n">
        <v>15</v>
      </c>
      <c r="N90" s="62">
        <f>IF(M90&lt;=4,"R1 Foundation",IF(M90&lt;=8,"R2 Core Clinic",IF(M90&lt;=13,"R3 Revenue &amp; Messaging",IF(M90&lt;=18,"R4 Patient &amp; Platform",IF(M90&lt;=20,"R5 Harden","R6 Launch")))))</f>
        <v/>
      </c>
      <c r="O90" s="67">
        <f>L90*README!$B$32</f>
        <v/>
      </c>
      <c r="P90" s="62" t="inlineStr">
        <is>
          <t>NB-053, NB-082</t>
        </is>
      </c>
      <c r="Q90" s="62" t="inlineStr">
        <is>
          <t>Campaign send to a child profile is impossible; the block is enforced server-side</t>
        </is>
      </c>
      <c r="R90" s="62" t="inlineStr">
        <is>
          <t>Not started</t>
        </is>
      </c>
      <c r="S90" s="62" t="n"/>
    </row>
    <row r="91" ht="23.85" customHeight="1" s="51">
      <c r="A91" s="68" t="inlineStr">
        <is>
          <t>NB-090</t>
        </is>
      </c>
      <c r="B91" s="68" t="inlineStr">
        <is>
          <t>E10 Queue, Scheduling &amp; Availability</t>
        </is>
      </c>
      <c r="C91" s="68" t="inlineStr">
        <is>
          <t>Scheduling</t>
        </is>
      </c>
      <c r="D91" s="68" t="inlineStr">
        <is>
          <t>Appointment scheduling engine</t>
        </is>
      </c>
      <c r="E91" s="68" t="inlineStr">
        <is>
          <t>Slot generation, doctor calendars, breaks, prayer time, leave and blocked slots.</t>
        </is>
      </c>
      <c r="F91" s="68" t="inlineStr">
        <is>
          <t>CAD-05,SYS-04</t>
        </is>
      </c>
      <c r="G91" s="68" t="inlineStr">
        <is>
          <t>Reception</t>
        </is>
      </c>
      <c r="H91" s="68" t="inlineStr">
        <is>
          <t>Clinic</t>
        </is>
      </c>
      <c r="I91" s="68" t="inlineStr">
        <is>
          <t>Backend</t>
        </is>
      </c>
      <c r="J91" s="69" t="inlineStr">
        <is>
          <t>Must</t>
        </is>
      </c>
      <c r="K91" s="69" t="inlineStr">
        <is>
          <t>MVP</t>
        </is>
      </c>
      <c r="L91" s="69" t="n">
        <v>13</v>
      </c>
      <c r="M91" s="69" t="n">
        <v>7</v>
      </c>
      <c r="N91" s="68">
        <f>IF(M91&lt;=4,"R1 Foundation",IF(M91&lt;=8,"R2 Core Clinic",IF(M91&lt;=13,"R3 Revenue &amp; Messaging",IF(M91&lt;=18,"R4 Patient &amp; Platform",IF(M91&lt;=20,"R5 Harden","R6 Launch")))))</f>
        <v/>
      </c>
      <c r="O91" s="70">
        <f>L91*README!$B$32</f>
        <v/>
      </c>
      <c r="P91" s="68" t="inlineStr">
        <is>
          <t>NB-003, NB-071</t>
        </is>
      </c>
      <c r="Q91" s="68" t="inlineStr">
        <is>
          <t>No double-booking under concurrent booking load</t>
        </is>
      </c>
      <c r="R91" s="68" t="inlineStr">
        <is>
          <t>Done</t>
        </is>
      </c>
      <c r="S91" s="68" t="n"/>
    </row>
    <row r="92" ht="23.85" customHeight="1" s="51">
      <c r="A92" s="62" t="inlineStr">
        <is>
          <t>NB-091</t>
        </is>
      </c>
      <c r="B92" s="62" t="inlineStr">
        <is>
          <t>E10 Queue, Scheduling &amp; Availability</t>
        </is>
      </c>
      <c r="C92" s="62" t="inlineStr">
        <is>
          <t>Scheduling</t>
        </is>
      </c>
      <c r="D92" s="62" t="inlineStr">
        <is>
          <t>Doctor availability, leave &amp; block management</t>
        </is>
      </c>
      <c r="E92" s="62" t="inlineStr">
        <is>
          <t>Doctor-side supply management that supplements rather than replaces the appointment book.</t>
        </is>
      </c>
      <c r="F92" s="62" t="inlineStr">
        <is>
          <t>DOC-03,CAD-05</t>
        </is>
      </c>
      <c r="G92" s="62" t="inlineStr">
        <is>
          <t>Doctor,Owner</t>
        </is>
      </c>
      <c r="H92" s="62" t="inlineStr">
        <is>
          <t>Clinic</t>
        </is>
      </c>
      <c r="I92" s="62" t="inlineStr">
        <is>
          <t>Fullstack</t>
        </is>
      </c>
      <c r="J92" s="66" t="inlineStr">
        <is>
          <t>Must</t>
        </is>
      </c>
      <c r="K92" s="66" t="inlineStr">
        <is>
          <t>MVP</t>
        </is>
      </c>
      <c r="L92" s="66" t="n">
        <v>8</v>
      </c>
      <c r="M92" s="66" t="n">
        <v>9</v>
      </c>
      <c r="N92" s="62">
        <f>IF(M92&lt;=4,"R1 Foundation",IF(M92&lt;=8,"R2 Core Clinic",IF(M92&lt;=13,"R3 Revenue &amp; Messaging",IF(M92&lt;=18,"R4 Patient &amp; Platform",IF(M92&lt;=20,"R5 Harden","R6 Launch")))))</f>
        <v/>
      </c>
      <c r="O92" s="67">
        <f>L92*README!$B$32</f>
        <v/>
      </c>
      <c r="P92" s="62" t="inlineStr">
        <is>
          <t>NB-090</t>
        </is>
      </c>
      <c r="Q92" s="62" t="inlineStr">
        <is>
          <t>Blocking a doctor warns about affected package sessions restricted to that doctor</t>
        </is>
      </c>
      <c r="R92" s="62" t="inlineStr">
        <is>
          <t>Done</t>
        </is>
      </c>
      <c r="S92" s="62" t="n"/>
    </row>
    <row r="93" ht="23.85" customHeight="1" s="51">
      <c r="A93" s="68" t="inlineStr">
        <is>
          <t>NB-092</t>
        </is>
      </c>
      <c r="B93" s="68" t="inlineStr">
        <is>
          <t>E10 Queue, Scheduling &amp; Availability</t>
        </is>
      </c>
      <c r="C93" s="68" t="inlineStr">
        <is>
          <t>Scheduling</t>
        </is>
      </c>
      <c r="D93" s="68" t="inlineStr">
        <is>
          <t>Roster, shifts, exceptions &amp; holidays</t>
        </is>
      </c>
      <c r="E93" s="68" t="inlineStr">
        <is>
          <t>Weekly roster with per-day exceptions and clinic holidays.</t>
        </is>
      </c>
      <c r="F93" s="68" t="inlineStr">
        <is>
          <t>CAD-05,CAD-09</t>
        </is>
      </c>
      <c r="G93" s="68" t="inlineStr">
        <is>
          <t>Owner</t>
        </is>
      </c>
      <c r="H93" s="68" t="inlineStr">
        <is>
          <t>Clinic</t>
        </is>
      </c>
      <c r="I93" s="68" t="inlineStr">
        <is>
          <t>Fullstack</t>
        </is>
      </c>
      <c r="J93" s="69" t="inlineStr">
        <is>
          <t>Must</t>
        </is>
      </c>
      <c r="K93" s="69" t="inlineStr">
        <is>
          <t>MVP</t>
        </is>
      </c>
      <c r="L93" s="69" t="n">
        <v>8</v>
      </c>
      <c r="M93" s="69" t="n">
        <v>10</v>
      </c>
      <c r="N93" s="68">
        <f>IF(M93&lt;=4,"R1 Foundation",IF(M93&lt;=8,"R2 Core Clinic",IF(M93&lt;=13,"R3 Revenue &amp; Messaging",IF(M93&lt;=18,"R4 Patient &amp; Platform",IF(M93&lt;=20,"R5 Harden","R6 Launch")))))</f>
        <v/>
      </c>
      <c r="O93" s="70">
        <f>L93*README!$B$32</f>
        <v/>
      </c>
      <c r="P93" s="68" t="inlineStr">
        <is>
          <t>NB-064</t>
        </is>
      </c>
      <c r="Q93" s="68" t="inlineStr">
        <is>
          <t>Exception overrides the roster for that date only</t>
        </is>
      </c>
      <c r="R93" s="68" t="inlineStr">
        <is>
          <t>Done</t>
        </is>
      </c>
      <c r="S93" s="68" t="n"/>
    </row>
    <row r="94" ht="23.85" customHeight="1" s="51">
      <c r="A94" s="62" t="inlineStr">
        <is>
          <t>NB-093</t>
        </is>
      </c>
      <c r="B94" s="62" t="inlineStr">
        <is>
          <t>E10 Queue, Scheduling &amp; Availability</t>
        </is>
      </c>
      <c r="C94" s="62" t="inlineStr">
        <is>
          <t>Queue</t>
        </is>
      </c>
      <c r="D94" s="62" t="inlineStr">
        <is>
          <t>Token &amp; walk-in queue management</t>
        </is>
      </c>
      <c r="E94" s="62" t="inlineStr">
        <is>
          <t>Token issue, priority, reorder with mandatory reason and estimated wait.</t>
        </is>
      </c>
      <c r="F94" s="62" t="n"/>
      <c r="G94" s="62" t="inlineStr">
        <is>
          <t>Reception</t>
        </is>
      </c>
      <c r="H94" s="62" t="inlineStr">
        <is>
          <t>Clinic</t>
        </is>
      </c>
      <c r="I94" s="62" t="inlineStr">
        <is>
          <t>Fullstack</t>
        </is>
      </c>
      <c r="J94" s="66" t="inlineStr">
        <is>
          <t>Must</t>
        </is>
      </c>
      <c r="K94" s="66" t="inlineStr">
        <is>
          <t>MVP</t>
        </is>
      </c>
      <c r="L94" s="66" t="n">
        <v>8</v>
      </c>
      <c r="M94" s="66" t="n">
        <v>8</v>
      </c>
      <c r="N94" s="62">
        <f>IF(M94&lt;=4,"R1 Foundation",IF(M94&lt;=8,"R2 Core Clinic",IF(M94&lt;=13,"R3 Revenue &amp; Messaging",IF(M94&lt;=18,"R4 Patient &amp; Platform",IF(M94&lt;=20,"R5 Harden","R6 Launch")))))</f>
        <v/>
      </c>
      <c r="O94" s="67">
        <f>L94*README!$B$32</f>
        <v/>
      </c>
      <c r="P94" s="62" t="inlineStr">
        <is>
          <t>NB-090</t>
        </is>
      </c>
      <c r="Q94" s="62" t="inlineStr">
        <is>
          <t>Token numbers unique per day per doctor; reorder audited</t>
        </is>
      </c>
      <c r="R94" s="62" t="inlineStr">
        <is>
          <t>Done</t>
        </is>
      </c>
      <c r="S94" s="62" t="n"/>
    </row>
    <row r="95" ht="23.85" customHeight="1" s="51">
      <c r="A95" s="68" t="inlineStr">
        <is>
          <t>NB-094</t>
        </is>
      </c>
      <c r="B95" s="68" t="inlineStr">
        <is>
          <t>E10 Queue, Scheduling &amp; Availability</t>
        </is>
      </c>
      <c r="C95" s="68" t="inlineStr">
        <is>
          <t>Queue</t>
        </is>
      </c>
      <c r="D95" s="68" t="inlineStr">
        <is>
          <t>Queue state machine</t>
        </is>
      </c>
      <c r="E95" s="68" t="inlineStr">
        <is>
          <t>Not arrived, checked in, waiting, vitals pending/done, in consultation, checkout pending, completed, no-show.</t>
        </is>
      </c>
      <c r="F95" s="68" t="n"/>
      <c r="G95" s="68" t="inlineStr">
        <is>
          <t>Reception,Nurse,Doctor</t>
        </is>
      </c>
      <c r="H95" s="68" t="inlineStr">
        <is>
          <t>Clinic</t>
        </is>
      </c>
      <c r="I95" s="68" t="inlineStr">
        <is>
          <t>Backend</t>
        </is>
      </c>
      <c r="J95" s="69" t="inlineStr">
        <is>
          <t>Must</t>
        </is>
      </c>
      <c r="K95" s="69" t="inlineStr">
        <is>
          <t>MVP</t>
        </is>
      </c>
      <c r="L95" s="69" t="n">
        <v>5</v>
      </c>
      <c r="M95" s="69" t="n">
        <v>8</v>
      </c>
      <c r="N95" s="68">
        <f>IF(M95&lt;=4,"R1 Foundation",IF(M95&lt;=8,"R2 Core Clinic",IF(M95&lt;=13,"R3 Revenue &amp; Messaging",IF(M95&lt;=18,"R4 Patient &amp; Platform",IF(M95&lt;=20,"R5 Harden","R6 Launch")))))</f>
        <v/>
      </c>
      <c r="O95" s="70">
        <f>L95*README!$B$32</f>
        <v/>
      </c>
      <c r="P95" s="68" t="inlineStr">
        <is>
          <t>NB-093</t>
        </is>
      </c>
      <c r="Q95" s="68" t="inlineStr">
        <is>
          <t>Illegal transitions rejected; every transition audited</t>
        </is>
      </c>
      <c r="R95" s="68" t="inlineStr">
        <is>
          <t>Done</t>
        </is>
      </c>
      <c r="S95" s="68" t="n"/>
    </row>
    <row r="96" ht="23.85" customHeight="1" s="51">
      <c r="A96" s="62" t="inlineStr">
        <is>
          <t>NB-095</t>
        </is>
      </c>
      <c r="B96" s="62" t="inlineStr">
        <is>
          <t>E10 Queue, Scheduling &amp; Availability</t>
        </is>
      </c>
      <c r="C96" s="62" t="inlineStr">
        <is>
          <t>Queue</t>
        </is>
      </c>
      <c r="D96" s="62" t="inlineStr">
        <is>
          <t>Today / Arrivals screen</t>
        </is>
      </c>
      <c r="E96" s="62" t="inlineStr">
        <is>
          <t>Reception landing with arrivals, badges and quick check-in.</t>
        </is>
      </c>
      <c r="F96" s="62" t="n"/>
      <c r="G96" s="62" t="inlineStr">
        <is>
          <t>Reception</t>
        </is>
      </c>
      <c r="H96" s="62" t="inlineStr">
        <is>
          <t>Clinic</t>
        </is>
      </c>
      <c r="I96" s="62" t="inlineStr">
        <is>
          <t>Frontend</t>
        </is>
      </c>
      <c r="J96" s="66" t="inlineStr">
        <is>
          <t>Must</t>
        </is>
      </c>
      <c r="K96" s="66" t="inlineStr">
        <is>
          <t>MVP</t>
        </is>
      </c>
      <c r="L96" s="66" t="n">
        <v>5</v>
      </c>
      <c r="M96" s="66" t="n">
        <v>9</v>
      </c>
      <c r="N96" s="62">
        <f>IF(M96&lt;=4,"R1 Foundation",IF(M96&lt;=8,"R2 Core Clinic",IF(M96&lt;=13,"R3 Revenue &amp; Messaging",IF(M96&lt;=18,"R4 Patient &amp; Platform",IF(M96&lt;=20,"R5 Harden","R6 Launch")))))</f>
        <v/>
      </c>
      <c r="O96" s="67">
        <f>L96*README!$B$32</f>
        <v/>
      </c>
      <c r="P96" s="62" t="inlineStr">
        <is>
          <t>NB-094, NB-017</t>
        </is>
      </c>
      <c r="Q96" s="62" t="inlineStr">
        <is>
          <t>Matches the wireframe; live-updates without refresh</t>
        </is>
      </c>
      <c r="R96" s="62" t="inlineStr">
        <is>
          <t>Done</t>
        </is>
      </c>
      <c r="S96" s="62" t="n"/>
    </row>
    <row r="97" ht="23.85" customHeight="1" s="51">
      <c r="A97" s="68" t="inlineStr">
        <is>
          <t>NB-096</t>
        </is>
      </c>
      <c r="B97" s="68" t="inlineStr">
        <is>
          <t>E10 Queue, Scheduling &amp; Availability</t>
        </is>
      </c>
      <c r="C97" s="68" t="inlineStr">
        <is>
          <t>Queue</t>
        </is>
      </c>
      <c r="D97" s="68" t="inlineStr">
        <is>
          <t>Real-time queue sync</t>
        </is>
      </c>
      <c r="E97" s="68" t="inlineStr">
        <is>
          <t>All roles see the same queue state within two seconds, degrading to polling.</t>
        </is>
      </c>
      <c r="F97" s="68" t="inlineStr">
        <is>
          <t>NFR-12</t>
        </is>
      </c>
      <c r="G97" s="68" t="inlineStr">
        <is>
          <t>All</t>
        </is>
      </c>
      <c r="H97" s="68" t="inlineStr">
        <is>
          <t>Clinic</t>
        </is>
      </c>
      <c r="I97" s="68" t="inlineStr">
        <is>
          <t>Backend</t>
        </is>
      </c>
      <c r="J97" s="69" t="inlineStr">
        <is>
          <t>Must</t>
        </is>
      </c>
      <c r="K97" s="69" t="inlineStr">
        <is>
          <t>MVP</t>
        </is>
      </c>
      <c r="L97" s="69" t="n">
        <v>5</v>
      </c>
      <c r="M97" s="69" t="n">
        <v>9</v>
      </c>
      <c r="N97" s="68">
        <f>IF(M97&lt;=4,"R1 Foundation",IF(M97&lt;=8,"R2 Core Clinic",IF(M97&lt;=13,"R3 Revenue &amp; Messaging",IF(M97&lt;=18,"R4 Patient &amp; Platform",IF(M97&lt;=20,"R5 Harden","R6 Launch")))))</f>
        <v/>
      </c>
      <c r="O97" s="70">
        <f>L97*README!$B$32</f>
        <v/>
      </c>
      <c r="P97" s="68" t="inlineStr">
        <is>
          <t>NB-094</t>
        </is>
      </c>
      <c r="Q97" s="68" t="inlineStr">
        <is>
          <t>2s propagation at 100 concurrent clients; fallback verified</t>
        </is>
      </c>
      <c r="R97" s="68" t="inlineStr">
        <is>
          <t>Not started</t>
        </is>
      </c>
      <c r="S97" s="68" t="n"/>
    </row>
    <row r="98" ht="23.85" customHeight="1" s="51">
      <c r="A98" s="62" t="inlineStr">
        <is>
          <t>NB-097</t>
        </is>
      </c>
      <c r="B98" s="62" t="inlineStr">
        <is>
          <t>E10 Queue, Scheduling &amp; Availability</t>
        </is>
      </c>
      <c r="C98" s="62" t="inlineStr">
        <is>
          <t>Queue</t>
        </is>
      </c>
      <c r="D98" s="62" t="inlineStr">
        <is>
          <t>Cancellation, reschedule &amp; no-show handling</t>
        </is>
      </c>
      <c r="E98" s="62" t="inlineStr">
        <is>
          <t>Reason codes drawn from the shared reason list.</t>
        </is>
      </c>
      <c r="F98" s="62" t="inlineStr">
        <is>
          <t>SYS-07</t>
        </is>
      </c>
      <c r="G98" s="62" t="inlineStr">
        <is>
          <t>Reception</t>
        </is>
      </c>
      <c r="H98" s="62" t="inlineStr">
        <is>
          <t>Clinic</t>
        </is>
      </c>
      <c r="I98" s="62" t="inlineStr">
        <is>
          <t>Fullstack</t>
        </is>
      </c>
      <c r="J98" s="66" t="inlineStr">
        <is>
          <t>Must</t>
        </is>
      </c>
      <c r="K98" s="66" t="inlineStr">
        <is>
          <t>MVP</t>
        </is>
      </c>
      <c r="L98" s="66" t="n">
        <v>5</v>
      </c>
      <c r="M98" s="66" t="n">
        <v>10</v>
      </c>
      <c r="N98" s="62">
        <f>IF(M98&lt;=4,"R1 Foundation",IF(M98&lt;=8,"R2 Core Clinic",IF(M98&lt;=13,"R3 Revenue &amp; Messaging",IF(M98&lt;=18,"R4 Patient &amp; Platform",IF(M98&lt;=20,"R5 Harden","R6 Launch")))))</f>
        <v/>
      </c>
      <c r="O98" s="67">
        <f>L98*README!$B$32</f>
        <v/>
      </c>
      <c r="P98" s="62" t="inlineStr">
        <is>
          <t>NB-090, NB-011</t>
        </is>
      </c>
      <c r="Q98" s="62" t="inlineStr">
        <is>
          <t>Reason mandatory; slot released immediately</t>
        </is>
      </c>
      <c r="R98" s="62" t="inlineStr">
        <is>
          <t>Done</t>
        </is>
      </c>
      <c r="S98" s="62" t="n"/>
    </row>
    <row r="99" ht="23.85" customHeight="1" s="51">
      <c r="A99" s="68" t="inlineStr">
        <is>
          <t>NB-098</t>
        </is>
      </c>
      <c r="B99" s="68" t="inlineStr">
        <is>
          <t>E10 Queue, Scheduling &amp; Availability</t>
        </is>
      </c>
      <c r="C99" s="68" t="inlineStr">
        <is>
          <t>Queue</t>
        </is>
      </c>
      <c r="D99" s="68" t="inlineStr">
        <is>
          <t>Smart overbooking protection</t>
        </is>
      </c>
      <c r="E99" s="68" t="inlineStr">
        <is>
          <t>Session caps count walk-ins and booked patients together; a full session is refused rather than silently overbooked.</t>
        </is>
      </c>
      <c r="F99" s="68" t="inlineStr">
        <is>
          <t>PAT-19</t>
        </is>
      </c>
      <c r="G99" s="68" t="inlineStr">
        <is>
          <t>Reception,Patient</t>
        </is>
      </c>
      <c r="H99" s="68" t="inlineStr">
        <is>
          <t>Clinic</t>
        </is>
      </c>
      <c r="I99" s="68" t="inlineStr">
        <is>
          <t>Backend</t>
        </is>
      </c>
      <c r="J99" s="69" t="inlineStr">
        <is>
          <t>Must</t>
        </is>
      </c>
      <c r="K99" s="69" t="inlineStr">
        <is>
          <t>MVP</t>
        </is>
      </c>
      <c r="L99" s="69" t="n">
        <v>5</v>
      </c>
      <c r="M99" s="69" t="n">
        <v>11</v>
      </c>
      <c r="N99" s="68">
        <f>IF(M99&lt;=4,"R1 Foundation",IF(M99&lt;=8,"R2 Core Clinic",IF(M99&lt;=13,"R3 Revenue &amp; Messaging",IF(M99&lt;=18,"R4 Patient &amp; Platform",IF(M99&lt;=20,"R5 Harden","R6 Launch")))))</f>
        <v/>
      </c>
      <c r="O99" s="70">
        <f>L99*README!$B$32</f>
        <v/>
      </c>
      <c r="P99" s="68" t="inlineStr">
        <is>
          <t>NB-090, NB-094</t>
        </is>
      </c>
      <c r="Q99" s="68" t="inlineStr">
        <is>
          <t>Cap counts both intake paths; overbooking attempt is refused with a clear reason</t>
        </is>
      </c>
      <c r="R99" s="68" t="inlineStr">
        <is>
          <t>Done</t>
        </is>
      </c>
      <c r="S99" s="68" t="n"/>
    </row>
    <row r="100" ht="23.85" customHeight="1" s="51">
      <c r="A100" s="62" t="inlineStr">
        <is>
          <t>NB-099</t>
        </is>
      </c>
      <c r="B100" s="62" t="inlineStr">
        <is>
          <t>E10 Queue, Scheduling &amp; Availability</t>
        </is>
      </c>
      <c r="C100" s="62" t="inlineStr">
        <is>
          <t>Queue</t>
        </is>
      </c>
      <c r="D100" s="62" t="inlineStr">
        <is>
          <t>Waitlist &amp; auto-fill offers</t>
        </is>
      </c>
      <c r="E100" s="62" t="inlineStr">
        <is>
          <t>A freed slot is offered to the waitlist with a 15-minute expiry.</t>
        </is>
      </c>
      <c r="F100" s="62" t="inlineStr">
        <is>
          <t>PAT-07,SYS-06</t>
        </is>
      </c>
      <c r="G100" s="62" t="inlineStr">
        <is>
          <t>Reception,Patient</t>
        </is>
      </c>
      <c r="H100" s="62" t="inlineStr">
        <is>
          <t>Clinic</t>
        </is>
      </c>
      <c r="I100" s="62" t="inlineStr">
        <is>
          <t>Fullstack</t>
        </is>
      </c>
      <c r="J100" s="66" t="inlineStr">
        <is>
          <t>Should</t>
        </is>
      </c>
      <c r="K100" s="66" t="inlineStr">
        <is>
          <t>MVP</t>
        </is>
      </c>
      <c r="L100" s="66" t="n">
        <v>8</v>
      </c>
      <c r="M100" s="66" t="n">
        <v>12</v>
      </c>
      <c r="N100" s="62">
        <f>IF(M100&lt;=4,"R1 Foundation",IF(M100&lt;=8,"R2 Core Clinic",IF(M100&lt;=13,"R3 Revenue &amp; Messaging",IF(M100&lt;=18,"R4 Patient &amp; Platform",IF(M100&lt;=20,"R5 Harden","R6 Launch")))))</f>
        <v/>
      </c>
      <c r="O100" s="67">
        <f>L100*README!$B$32</f>
        <v/>
      </c>
      <c r="P100" s="62" t="inlineStr">
        <is>
          <t>NB-090, NB-097</t>
        </is>
      </c>
      <c r="Q100" s="62" t="inlineStr">
        <is>
          <t>Offer expires in 15 minutes and is re-offered in order; no double allocation</t>
        </is>
      </c>
      <c r="R100" s="62" t="inlineStr">
        <is>
          <t>Done</t>
        </is>
      </c>
      <c r="S100" s="62" t="n"/>
    </row>
    <row r="101" ht="35.05" customHeight="1" s="51">
      <c r="A101" s="68" t="inlineStr">
        <is>
          <t>NB-100</t>
        </is>
      </c>
      <c r="B101" s="68" t="inlineStr">
        <is>
          <t>E10 Queue, Scheduling &amp; Availability</t>
        </is>
      </c>
      <c r="C101" s="68" t="inlineStr">
        <is>
          <t>Queue</t>
        </is>
      </c>
      <c r="D101" s="68" t="inlineStr">
        <is>
          <t>Doctor delay broadcast ladder &amp; clear-delay</t>
        </is>
      </c>
      <c r="E101" s="68" t="inlineStr">
        <is>
          <t>Two-step confirm writing the delay then closing and appending to history, with a Clear delay action. Treated as operationally urgent — not held for a prayer window.</t>
        </is>
      </c>
      <c r="F101" s="68" t="inlineStr">
        <is>
          <t>RCP-04,SYS-03</t>
        </is>
      </c>
      <c r="G101" s="68" t="inlineStr">
        <is>
          <t>Reception</t>
        </is>
      </c>
      <c r="H101" s="68" t="inlineStr">
        <is>
          <t>Clinic</t>
        </is>
      </c>
      <c r="I101" s="68" t="inlineStr">
        <is>
          <t>Fullstack</t>
        </is>
      </c>
      <c r="J101" s="69" t="inlineStr">
        <is>
          <t>Must</t>
        </is>
      </c>
      <c r="K101" s="69" t="inlineStr">
        <is>
          <t>MVP</t>
        </is>
      </c>
      <c r="L101" s="69" t="n">
        <v>8</v>
      </c>
      <c r="M101" s="69" t="n">
        <v>13</v>
      </c>
      <c r="N101" s="68">
        <f>IF(M101&lt;=4,"R1 Foundation",IF(M101&lt;=8,"R2 Core Clinic",IF(M101&lt;=13,"R3 Revenue &amp; Messaging",IF(M101&lt;=18,"R4 Patient &amp; Platform",IF(M101&lt;=20,"R5 Harden","R6 Launch")))))</f>
        <v/>
      </c>
      <c r="O101" s="70">
        <f>L101*README!$B$32</f>
        <v/>
      </c>
      <c r="P101" s="68" t="inlineStr">
        <is>
          <t>NB-094, NB-195</t>
        </is>
      </c>
      <c r="Q101" s="68" t="inlineStr">
        <is>
          <t>Clear delay stops the announcement; delay broadcast bypasses the prayer-window hold</t>
        </is>
      </c>
      <c r="R101" s="68" t="inlineStr">
        <is>
          <t>Done</t>
        </is>
      </c>
      <c r="S101" s="68" t="n"/>
    </row>
    <row r="102" ht="23.85" customHeight="1" s="51">
      <c r="A102" s="62" t="inlineStr">
        <is>
          <t>NB-101</t>
        </is>
      </c>
      <c r="B102" s="62" t="inlineStr">
        <is>
          <t>E10 Queue, Scheduling &amp; Availability</t>
        </is>
      </c>
      <c r="C102" s="62" t="inlineStr">
        <is>
          <t>Queue</t>
        </is>
      </c>
      <c r="D102" s="62" t="inlineStr">
        <is>
          <t>Wait-time estimation</t>
        </is>
      </c>
      <c r="E102" s="62" t="inlineStr">
        <is>
          <t>Estimated wait derived from historical consultation durations per doctor.</t>
        </is>
      </c>
      <c r="F102" s="62" t="inlineStr">
        <is>
          <t>PAT-05</t>
        </is>
      </c>
      <c r="G102" s="62" t="inlineStr">
        <is>
          <t>Reception,Patient</t>
        </is>
      </c>
      <c r="H102" s="62" t="inlineStr">
        <is>
          <t>Clinic</t>
        </is>
      </c>
      <c r="I102" s="62" t="inlineStr">
        <is>
          <t>Backend</t>
        </is>
      </c>
      <c r="J102" s="66" t="inlineStr">
        <is>
          <t>Could</t>
        </is>
      </c>
      <c r="K102" s="66" t="inlineStr">
        <is>
          <t>Phase 2</t>
        </is>
      </c>
      <c r="L102" s="66" t="n">
        <v>5</v>
      </c>
      <c r="M102" s="66" t="n">
        <v>19</v>
      </c>
      <c r="N102" s="62">
        <f>IF(M102&lt;=4,"R1 Foundation",IF(M102&lt;=8,"R2 Core Clinic",IF(M102&lt;=13,"R3 Revenue &amp; Messaging",IF(M102&lt;=18,"R4 Patient &amp; Platform",IF(M102&lt;=20,"R5 Harden","R6 Launch")))))</f>
        <v/>
      </c>
      <c r="O102" s="67">
        <f>L102*README!$B$32</f>
        <v/>
      </c>
      <c r="P102" s="62" t="inlineStr">
        <is>
          <t>NB-094</t>
        </is>
      </c>
      <c r="Q102" s="62" t="inlineStr">
        <is>
          <t>Estimate within +/-25% on retrospective data</t>
        </is>
      </c>
      <c r="R102" s="62" t="inlineStr">
        <is>
          <t>Done</t>
        </is>
      </c>
      <c r="S102" s="62" t="n"/>
    </row>
    <row r="103" ht="23.85" customHeight="1" s="51">
      <c r="A103" s="68" t="inlineStr">
        <is>
          <t>NB-102</t>
        </is>
      </c>
      <c r="B103" s="68" t="inlineStr">
        <is>
          <t>E11 Clinical Workspace</t>
        </is>
      </c>
      <c r="C103" s="68" t="inlineStr">
        <is>
          <t>Clinical</t>
        </is>
      </c>
      <c r="D103" s="68" t="inlineStr">
        <is>
          <t>Consultation workspace shell &amp; session strip</t>
        </is>
      </c>
      <c r="E103" s="68" t="inlineStr">
        <is>
          <t>The doctor's primary screen. The session strip shows status before any detail.</t>
        </is>
      </c>
      <c r="F103" s="68" t="inlineStr">
        <is>
          <t>DOC-01</t>
        </is>
      </c>
      <c r="G103" s="68" t="inlineStr">
        <is>
          <t>Doctor</t>
        </is>
      </c>
      <c r="H103" s="68" t="inlineStr">
        <is>
          <t>Clinic</t>
        </is>
      </c>
      <c r="I103" s="68" t="inlineStr">
        <is>
          <t>Frontend</t>
        </is>
      </c>
      <c r="J103" s="69" t="inlineStr">
        <is>
          <t>Must</t>
        </is>
      </c>
      <c r="K103" s="69" t="inlineStr">
        <is>
          <t>MVP</t>
        </is>
      </c>
      <c r="L103" s="69" t="n">
        <v>8</v>
      </c>
      <c r="M103" s="69" t="n">
        <v>11</v>
      </c>
      <c r="N103" s="68">
        <f>IF(M103&lt;=4,"R1 Foundation",IF(M103&lt;=8,"R2 Core Clinic",IF(M103&lt;=13,"R3 Revenue &amp; Messaging",IF(M103&lt;=18,"R4 Patient &amp; Platform",IF(M103&lt;=20,"R5 Harden","R6 Launch")))))</f>
        <v/>
      </c>
      <c r="O103" s="70">
        <f>L103*README!$B$32</f>
        <v/>
      </c>
      <c r="P103" s="68" t="inlineStr">
        <is>
          <t>NB-094, NB-074</t>
        </is>
      </c>
      <c r="Q103" s="68" t="inlineStr">
        <is>
          <t>A full consultation completes without leaving the screen</t>
        </is>
      </c>
      <c r="R103" s="68" t="inlineStr">
        <is>
          <t>Done</t>
        </is>
      </c>
      <c r="S103" s="68" t="n"/>
    </row>
    <row r="104" ht="23.85" customHeight="1" s="51">
      <c r="A104" s="62" t="inlineStr">
        <is>
          <t>NB-103</t>
        </is>
      </c>
      <c r="B104" s="62" t="inlineStr">
        <is>
          <t>E11 Clinical Workspace</t>
        </is>
      </c>
      <c r="C104" s="62" t="inlineStr">
        <is>
          <t>Clinical</t>
        </is>
      </c>
      <c r="D104" s="62" t="inlineStr">
        <is>
          <t>Clinical note capture &amp; templates</t>
        </is>
      </c>
      <c r="E104" s="62" t="inlineStr">
        <is>
          <t>Structured plus free-text notes, per-specialty templates, autosave.</t>
        </is>
      </c>
      <c r="F104" s="62" t="inlineStr">
        <is>
          <t>DOC-05</t>
        </is>
      </c>
      <c r="G104" s="62" t="inlineStr">
        <is>
          <t>Doctor</t>
        </is>
      </c>
      <c r="H104" s="62" t="inlineStr">
        <is>
          <t>Clinic</t>
        </is>
      </c>
      <c r="I104" s="62" t="inlineStr">
        <is>
          <t>Fullstack</t>
        </is>
      </c>
      <c r="J104" s="66" t="inlineStr">
        <is>
          <t>Must</t>
        </is>
      </c>
      <c r="K104" s="66" t="inlineStr">
        <is>
          <t>MVP</t>
        </is>
      </c>
      <c r="L104" s="66" t="n">
        <v>8</v>
      </c>
      <c r="M104" s="66" t="n">
        <v>11</v>
      </c>
      <c r="N104" s="62">
        <f>IF(M104&lt;=4,"R1 Foundation",IF(M104&lt;=8,"R2 Core Clinic",IF(M104&lt;=13,"R3 Revenue &amp; Messaging",IF(M104&lt;=18,"R4 Patient &amp; Platform",IF(M104&lt;=20,"R5 Harden","R6 Launch")))))</f>
        <v/>
      </c>
      <c r="O104" s="67">
        <f>L104*README!$B$32</f>
        <v/>
      </c>
      <c r="P104" s="62" t="inlineStr">
        <is>
          <t>NB-102</t>
        </is>
      </c>
      <c r="Q104" s="62" t="inlineStr">
        <is>
          <t>No note loss on crash or lock; autosave every 10s</t>
        </is>
      </c>
      <c r="R104" s="62" t="inlineStr">
        <is>
          <t>Done</t>
        </is>
      </c>
      <c r="S104" s="62" t="n"/>
    </row>
    <row r="105" ht="23.85" customHeight="1" s="51">
      <c r="A105" s="68" t="inlineStr">
        <is>
          <t>NB-104</t>
        </is>
      </c>
      <c r="B105" s="68" t="inlineStr">
        <is>
          <t>E11 Clinical Workspace</t>
        </is>
      </c>
      <c r="C105" s="68" t="inlineStr">
        <is>
          <t>Clinical</t>
        </is>
      </c>
      <c r="D105" s="68" t="inlineStr">
        <is>
          <t>Clinical note amendment &amp; versioning</t>
        </is>
      </c>
      <c r="E105" s="68" t="inlineStr">
        <is>
          <t>Signed notes are immutable; amendments append with reason and author.</t>
        </is>
      </c>
      <c r="F105" s="68" t="inlineStr">
        <is>
          <t>SYS-13</t>
        </is>
      </c>
      <c r="G105" s="68" t="inlineStr">
        <is>
          <t>Doctor</t>
        </is>
      </c>
      <c r="H105" s="68" t="inlineStr">
        <is>
          <t>Clinic</t>
        </is>
      </c>
      <c r="I105" s="68" t="inlineStr">
        <is>
          <t>Backend</t>
        </is>
      </c>
      <c r="J105" s="69" t="inlineStr">
        <is>
          <t>Must</t>
        </is>
      </c>
      <c r="K105" s="69" t="inlineStr">
        <is>
          <t>MVP</t>
        </is>
      </c>
      <c r="L105" s="69" t="n">
        <v>5</v>
      </c>
      <c r="M105" s="69" t="n">
        <v>12</v>
      </c>
      <c r="N105" s="68">
        <f>IF(M105&lt;=4,"R1 Foundation",IF(M105&lt;=8,"R2 Core Clinic",IF(M105&lt;=13,"R3 Revenue &amp; Messaging",IF(M105&lt;=18,"R4 Patient &amp; Platform",IF(M105&lt;=20,"R5 Harden","R6 Launch")))))</f>
        <v/>
      </c>
      <c r="O105" s="70">
        <f>L105*README!$B$32</f>
        <v/>
      </c>
      <c r="P105" s="68" t="inlineStr">
        <is>
          <t>NB-103, NB-238</t>
        </is>
      </c>
      <c r="Q105" s="68" t="inlineStr">
        <is>
          <t>Original text always retrievable; amendment reason mandatory</t>
        </is>
      </c>
      <c r="R105" s="68" t="inlineStr">
        <is>
          <t>Done</t>
        </is>
      </c>
      <c r="S105" s="68" t="n"/>
    </row>
    <row r="106" ht="23.85" customHeight="1" s="51">
      <c r="A106" s="62" t="inlineStr">
        <is>
          <t>NB-105</t>
        </is>
      </c>
      <c r="B106" s="62" t="inlineStr">
        <is>
          <t>E11 Clinical Workspace</t>
        </is>
      </c>
      <c r="C106" s="62" t="inlineStr">
        <is>
          <t>Clinical</t>
        </is>
      </c>
      <c r="D106" s="62" t="inlineStr">
        <is>
          <t>Previous medicines &amp; treatment view</t>
        </is>
      </c>
      <c r="E106" s="62" t="inlineStr">
        <is>
          <t>Read before prescribing — prior therapy surfaced in the prescribing path.</t>
        </is>
      </c>
      <c r="F106" s="62" t="inlineStr">
        <is>
          <t>DOC-02,GP-06</t>
        </is>
      </c>
      <c r="G106" s="62" t="inlineStr">
        <is>
          <t>Doctor</t>
        </is>
      </c>
      <c r="H106" s="62" t="inlineStr">
        <is>
          <t>Clinic</t>
        </is>
      </c>
      <c r="I106" s="62" t="inlineStr">
        <is>
          <t>Frontend</t>
        </is>
      </c>
      <c r="J106" s="66" t="inlineStr">
        <is>
          <t>Must</t>
        </is>
      </c>
      <c r="K106" s="66" t="inlineStr">
        <is>
          <t>MVP</t>
        </is>
      </c>
      <c r="L106" s="66" t="n">
        <v>5</v>
      </c>
      <c r="M106" s="66" t="n">
        <v>12</v>
      </c>
      <c r="N106" s="62">
        <f>IF(M106&lt;=4,"R1 Foundation",IF(M106&lt;=8,"R2 Core Clinic",IF(M106&lt;=13,"R3 Revenue &amp; Messaging",IF(M106&lt;=18,"R4 Patient &amp; Platform",IF(M106&lt;=20,"R5 Harden","R6 Launch")))))</f>
        <v/>
      </c>
      <c r="O106" s="67">
        <f>L106*README!$B$32</f>
        <v/>
      </c>
      <c r="P106" s="62" t="inlineStr">
        <is>
          <t>NB-102, NB-109</t>
        </is>
      </c>
      <c r="Q106" s="62" t="inlineStr">
        <is>
          <t>Prior medication is visible without leaving the prescription pad</t>
        </is>
      </c>
      <c r="R106" s="62" t="inlineStr">
        <is>
          <t>Done</t>
        </is>
      </c>
      <c r="S106" s="62" t="n"/>
    </row>
    <row r="107" ht="23.85" customHeight="1" s="51">
      <c r="A107" s="68" t="inlineStr">
        <is>
          <t>NB-106</t>
        </is>
      </c>
      <c r="B107" s="68" t="inlineStr">
        <is>
          <t>E11 Clinical Workspace</t>
        </is>
      </c>
      <c r="C107" s="68" t="inlineStr">
        <is>
          <t>Clinical</t>
        </is>
      </c>
      <c r="D107" s="68" t="inlineStr">
        <is>
          <t>Vitals capture &amp; charting</t>
        </is>
      </c>
      <c r="E107" s="68" t="inlineStr">
        <is>
          <t>Age-appropriate ranges with out-of-range flagging; latest weight feeds paediatric dosing.</t>
        </is>
      </c>
      <c r="F107" s="68" t="inlineStr">
        <is>
          <t>PED-05</t>
        </is>
      </c>
      <c r="G107" s="68" t="inlineStr">
        <is>
          <t>Nurse,Doctor</t>
        </is>
      </c>
      <c r="H107" s="68" t="inlineStr">
        <is>
          <t>Clinic</t>
        </is>
      </c>
      <c r="I107" s="68" t="inlineStr">
        <is>
          <t>Fullstack</t>
        </is>
      </c>
      <c r="J107" s="69" t="inlineStr">
        <is>
          <t>Must</t>
        </is>
      </c>
      <c r="K107" s="69" t="inlineStr">
        <is>
          <t>MVP</t>
        </is>
      </c>
      <c r="L107" s="69" t="n">
        <v>5</v>
      </c>
      <c r="M107" s="69" t="n">
        <v>10</v>
      </c>
      <c r="N107" s="68">
        <f>IF(M107&lt;=4,"R1 Foundation",IF(M107&lt;=8,"R2 Core Clinic",IF(M107&lt;=13,"R3 Revenue &amp; Messaging",IF(M107&lt;=18,"R4 Patient &amp; Platform",IF(M107&lt;=20,"R5 Harden","R6 Launch")))))</f>
        <v/>
      </c>
      <c r="O107" s="70">
        <f>L107*README!$B$32</f>
        <v/>
      </c>
      <c r="P107" s="68" t="inlineStr">
        <is>
          <t>NB-074, NB-094</t>
        </is>
      </c>
      <c r="Q107" s="68" t="inlineStr">
        <is>
          <t>Abnormal values carry the critical clinical state; latest weight is exposed to the dose calculator</t>
        </is>
      </c>
      <c r="R107" s="68" t="inlineStr">
        <is>
          <t>Done</t>
        </is>
      </c>
      <c r="S107" s="68" t="n"/>
    </row>
    <row r="108" ht="23.85" customHeight="1" s="51">
      <c r="A108" s="62" t="inlineStr">
        <is>
          <t>NB-107</t>
        </is>
      </c>
      <c r="B108" s="62" t="inlineStr">
        <is>
          <t>E11 Clinical Workspace</t>
        </is>
      </c>
      <c r="C108" s="62" t="inlineStr">
        <is>
          <t>Clinical</t>
        </is>
      </c>
      <c r="D108" s="62" t="inlineStr">
        <is>
          <t>Allergy register with graded severity</t>
        </is>
      </c>
      <c r="E108" s="62" t="inlineStr">
        <is>
          <t>Allergy registry with severity grading and a persistent banner.</t>
        </is>
      </c>
      <c r="F108" s="62" t="inlineStr">
        <is>
          <t>DERM-05</t>
        </is>
      </c>
      <c r="G108" s="62" t="inlineStr">
        <is>
          <t>Doctor,Nurse</t>
        </is>
      </c>
      <c r="H108" s="62" t="inlineStr">
        <is>
          <t>Clinic</t>
        </is>
      </c>
      <c r="I108" s="62" t="inlineStr">
        <is>
          <t>Fullstack</t>
        </is>
      </c>
      <c r="J108" s="66" t="inlineStr">
        <is>
          <t>Must</t>
        </is>
      </c>
      <c r="K108" s="66" t="inlineStr">
        <is>
          <t>MVP</t>
        </is>
      </c>
      <c r="L108" s="66" t="n">
        <v>8</v>
      </c>
      <c r="M108" s="66" t="n">
        <v>12</v>
      </c>
      <c r="N108" s="62">
        <f>IF(M108&lt;=4,"R1 Foundation",IF(M108&lt;=8,"R2 Core Clinic",IF(M108&lt;=13,"R3 Revenue &amp; Messaging",IF(M108&lt;=18,"R4 Patient &amp; Platform",IF(M108&lt;=20,"R5 Harden","R6 Launch")))))</f>
        <v/>
      </c>
      <c r="O108" s="67">
        <f>L108*README!$B$32</f>
        <v/>
      </c>
      <c r="P108" s="62" t="inlineStr">
        <is>
          <t>NB-074</t>
        </is>
      </c>
      <c r="Q108" s="62" t="inlineStr">
        <is>
          <t>Allergy banner always visible; severity grade drives warning strength</t>
        </is>
      </c>
      <c r="R108" s="62" t="inlineStr">
        <is>
          <t>Done</t>
        </is>
      </c>
      <c r="S108" s="62" t="n"/>
    </row>
    <row r="109" ht="23.85" customHeight="1" s="51">
      <c r="A109" s="68" t="inlineStr">
        <is>
          <t>NB-108</t>
        </is>
      </c>
      <c r="B109" s="68" t="inlineStr">
        <is>
          <t>E11 Clinical Workspace</t>
        </is>
      </c>
      <c r="C109" s="68" t="inlineStr">
        <is>
          <t>Clinical</t>
        </is>
      </c>
      <c r="D109" s="68" t="inlineStr">
        <is>
          <t>Allergy hard-warning with mandatory override reason</t>
        </is>
      </c>
      <c r="E109" s="68" t="inlineStr">
        <is>
          <t>A conflicting prescription cannot be issued without a documented override reason.</t>
        </is>
      </c>
      <c r="F109" s="68" t="inlineStr">
        <is>
          <t>DERM-05</t>
        </is>
      </c>
      <c r="G109" s="68" t="inlineStr">
        <is>
          <t>Doctor</t>
        </is>
      </c>
      <c r="H109" s="68" t="inlineStr">
        <is>
          <t>Clinic</t>
        </is>
      </c>
      <c r="I109" s="68" t="inlineStr">
        <is>
          <t>Fullstack</t>
        </is>
      </c>
      <c r="J109" s="69" t="inlineStr">
        <is>
          <t>Must</t>
        </is>
      </c>
      <c r="K109" s="69" t="inlineStr">
        <is>
          <t>MVP</t>
        </is>
      </c>
      <c r="L109" s="69" t="n">
        <v>5</v>
      </c>
      <c r="M109" s="69" t="n">
        <v>13</v>
      </c>
      <c r="N109" s="68">
        <f>IF(M109&lt;=4,"R1 Foundation",IF(M109&lt;=8,"R2 Core Clinic",IF(M109&lt;=13,"R3 Revenue &amp; Messaging",IF(M109&lt;=18,"R4 Patient &amp; Platform",IF(M109&lt;=20,"R5 Harden","R6 Launch")))))</f>
        <v/>
      </c>
      <c r="O109" s="70">
        <f>L109*README!$B$32</f>
        <v/>
      </c>
      <c r="P109" s="68" t="inlineStr">
        <is>
          <t>NB-107, NB-109</t>
        </is>
      </c>
      <c r="Q109" s="68" t="inlineStr">
        <is>
          <t>Override is impossible without a reason; every override is audited</t>
        </is>
      </c>
      <c r="R109" s="68" t="inlineStr">
        <is>
          <t>Done</t>
        </is>
      </c>
      <c r="S109" s="68" t="n"/>
    </row>
    <row r="110" ht="23.85" customHeight="1" s="51">
      <c r="A110" s="62" t="inlineStr">
        <is>
          <t>NB-109</t>
        </is>
      </c>
      <c r="B110" s="62" t="inlineStr">
        <is>
          <t>E11 Clinical Workspace</t>
        </is>
      </c>
      <c r="C110" s="62" t="inlineStr">
        <is>
          <t>Clinical</t>
        </is>
      </c>
      <c r="D110" s="62" t="inlineStr">
        <is>
          <t>Fast e-prescription pad</t>
        </is>
      </c>
      <c r="E110" s="62" t="inlineStr">
        <is>
          <t>The prescribing surface itself, built for speed.</t>
        </is>
      </c>
      <c r="F110" s="62" t="inlineStr">
        <is>
          <t>DOC-06,GP-06</t>
        </is>
      </c>
      <c r="G110" s="62" t="inlineStr">
        <is>
          <t>Doctor</t>
        </is>
      </c>
      <c r="H110" s="62" t="inlineStr">
        <is>
          <t>Clinic</t>
        </is>
      </c>
      <c r="I110" s="62" t="inlineStr">
        <is>
          <t>Fullstack</t>
        </is>
      </c>
      <c r="J110" s="66" t="inlineStr">
        <is>
          <t>Must</t>
        </is>
      </c>
      <c r="K110" s="66" t="inlineStr">
        <is>
          <t>MVP</t>
        </is>
      </c>
      <c r="L110" s="66" t="n">
        <v>8</v>
      </c>
      <c r="M110" s="66" t="n">
        <v>12</v>
      </c>
      <c r="N110" s="62">
        <f>IF(M110&lt;=4,"R1 Foundation",IF(M110&lt;=8,"R2 Core Clinic",IF(M110&lt;=13,"R3 Revenue &amp; Messaging",IF(M110&lt;=18,"R4 Patient &amp; Platform",IF(M110&lt;=20,"R5 Harden","R6 Launch")))))</f>
        <v/>
      </c>
      <c r="O110" s="67">
        <f>L110*README!$B$32</f>
        <v/>
      </c>
      <c r="P110" s="62" t="inlineStr">
        <is>
          <t>NB-102, NB-010</t>
        </is>
      </c>
      <c r="Q110" s="62" t="inlineStr">
        <is>
          <t>A routine prescription completes within the target keystroke budget</t>
        </is>
      </c>
      <c r="R110" s="62" t="inlineStr">
        <is>
          <t>Done</t>
        </is>
      </c>
      <c r="S110" s="62" t="n"/>
    </row>
    <row r="111" ht="23.85" customHeight="1" s="51">
      <c r="A111" s="68" t="inlineStr">
        <is>
          <t>NB-110</t>
        </is>
      </c>
      <c r="B111" s="68" t="inlineStr">
        <is>
          <t>E11 Clinical Workspace</t>
        </is>
      </c>
      <c r="C111" s="68" t="inlineStr">
        <is>
          <t>Clinical</t>
        </is>
      </c>
      <c r="D111" s="68" t="inlineStr">
        <is>
          <t>Generic-name prescribing preference — India</t>
        </is>
      </c>
      <c r="E111" s="68" t="inlineStr">
        <is>
          <t>Generic name printed first per the India NMC norm, brand permitted in brackets, search matches both.</t>
        </is>
      </c>
      <c r="F111" s="68" t="inlineStr">
        <is>
          <t>GP-05</t>
        </is>
      </c>
      <c r="G111" s="68" t="inlineStr">
        <is>
          <t>Doctor</t>
        </is>
      </c>
      <c r="H111" s="68" t="inlineStr">
        <is>
          <t>Clinic</t>
        </is>
      </c>
      <c r="I111" s="68" t="inlineStr">
        <is>
          <t>Fullstack</t>
        </is>
      </c>
      <c r="J111" s="69" t="inlineStr">
        <is>
          <t>Must</t>
        </is>
      </c>
      <c r="K111" s="69" t="inlineStr">
        <is>
          <t>MVP</t>
        </is>
      </c>
      <c r="L111" s="69" t="n">
        <v>5</v>
      </c>
      <c r="M111" s="69" t="n">
        <v>13</v>
      </c>
      <c r="N111" s="68">
        <f>IF(M111&lt;=4,"R1 Foundation",IF(M111&lt;=8,"R2 Core Clinic",IF(M111&lt;=13,"R3 Revenue &amp; Messaging",IF(M111&lt;=18,"R4 Patient &amp; Platform",IF(M111&lt;=20,"R5 Harden","R6 Launch")))))</f>
        <v/>
      </c>
      <c r="O111" s="70">
        <f>L111*README!$B$32</f>
        <v/>
      </c>
      <c r="P111" s="68" t="inlineStr">
        <is>
          <t>NB-109</t>
        </is>
      </c>
      <c r="Q111" s="68" t="inlineStr">
        <is>
          <t>Generic-first print verified; search matches brand and generic</t>
        </is>
      </c>
      <c r="R111" s="68" t="inlineStr">
        <is>
          <t>Not started</t>
        </is>
      </c>
      <c r="S111" s="68" t="n"/>
    </row>
    <row r="112" ht="23.85" customHeight="1" s="51">
      <c r="A112" s="62" t="inlineStr">
        <is>
          <t>NB-111</t>
        </is>
      </c>
      <c r="B112" s="62" t="inlineStr">
        <is>
          <t>E11 Clinical Workspace</t>
        </is>
      </c>
      <c r="C112" s="62" t="inlineStr">
        <is>
          <t>Clinical</t>
        </is>
      </c>
      <c r="D112" s="62" t="inlineStr">
        <is>
          <t>Schedule H/H1 and SFDA controlled-substance rules</t>
        </is>
      </c>
      <c r="E112" s="62" t="inlineStr">
        <is>
          <t>India Schedule H/H1 caution applied automatically; KSA uses SFDA identifiers and controlled rules.</t>
        </is>
      </c>
      <c r="F112" s="62" t="inlineStr">
        <is>
          <t>GP-05,DOC-06</t>
        </is>
      </c>
      <c r="G112" s="62" t="inlineStr">
        <is>
          <t>Doctor</t>
        </is>
      </c>
      <c r="H112" s="62" t="inlineStr">
        <is>
          <t>Clinic</t>
        </is>
      </c>
      <c r="I112" s="62" t="inlineStr">
        <is>
          <t>Backend</t>
        </is>
      </c>
      <c r="J112" s="66" t="inlineStr">
        <is>
          <t>Must</t>
        </is>
      </c>
      <c r="K112" s="66" t="inlineStr">
        <is>
          <t>MVP</t>
        </is>
      </c>
      <c r="L112" s="66" t="n">
        <v>5</v>
      </c>
      <c r="M112" s="66" t="n">
        <v>13</v>
      </c>
      <c r="N112" s="62">
        <f>IF(M112&lt;=4,"R1 Foundation",IF(M112&lt;=8,"R2 Core Clinic",IF(M112&lt;=13,"R3 Revenue &amp; Messaging",IF(M112&lt;=18,"R4 Patient &amp; Platform",IF(M112&lt;=20,"R5 Harden","R6 Launch")))))</f>
        <v/>
      </c>
      <c r="O112" s="67">
        <f>L112*README!$B$32</f>
        <v/>
      </c>
      <c r="P112" s="62" t="inlineStr">
        <is>
          <t>NB-109, NB-010</t>
        </is>
      </c>
      <c r="Q112" s="62" t="inlineStr">
        <is>
          <t>Correct rule set applies automatically by tenant region</t>
        </is>
      </c>
      <c r="R112" s="62" t="inlineStr">
        <is>
          <t>Done</t>
        </is>
      </c>
      <c r="S112" s="62" t="n"/>
    </row>
    <row r="113" ht="23.85" customHeight="1" s="51">
      <c r="A113" s="68" t="inlineStr">
        <is>
          <t>NB-112</t>
        </is>
      </c>
      <c r="B113" s="68" t="inlineStr">
        <is>
          <t>E11 Clinical Workspace</t>
        </is>
      </c>
      <c r="C113" s="68" t="inlineStr">
        <is>
          <t>Clinical</t>
        </is>
      </c>
      <c r="D113" s="68" t="inlineStr">
        <is>
          <t>Weight-based paediatric dosing</t>
        </is>
      </c>
      <c r="E113" s="68" t="inlineStr">
        <is>
          <t>Dose calculated from the latest recorded weight, sourced from a validated rule set rather than ad-hoc UI arithmetic.</t>
        </is>
      </c>
      <c r="F113" s="68" t="inlineStr">
        <is>
          <t>PED-05</t>
        </is>
      </c>
      <c r="G113" s="68" t="inlineStr">
        <is>
          <t>Doctor</t>
        </is>
      </c>
      <c r="H113" s="68" t="inlineStr">
        <is>
          <t>Clinic</t>
        </is>
      </c>
      <c r="I113" s="68" t="inlineStr">
        <is>
          <t>Fullstack</t>
        </is>
      </c>
      <c r="J113" s="69" t="inlineStr">
        <is>
          <t>Must</t>
        </is>
      </c>
      <c r="K113" s="69" t="inlineStr">
        <is>
          <t>MVP</t>
        </is>
      </c>
      <c r="L113" s="69" t="n">
        <v>8</v>
      </c>
      <c r="M113" s="69" t="n">
        <v>14</v>
      </c>
      <c r="N113" s="68">
        <f>IF(M113&lt;=4,"R1 Foundation",IF(M113&lt;=8,"R2 Core Clinic",IF(M113&lt;=13,"R3 Revenue &amp; Messaging",IF(M113&lt;=18,"R4 Patient &amp; Platform",IF(M113&lt;=20,"R5 Harden","R6 Launch")))))</f>
        <v/>
      </c>
      <c r="O113" s="70">
        <f>L113*README!$B$32</f>
        <v/>
      </c>
      <c r="P113" s="68" t="inlineStr">
        <is>
          <t>NB-109, NB-106</t>
        </is>
      </c>
      <c r="Q113" s="68" t="inlineStr">
        <is>
          <t>Dose derives from the latest recorded weight; the rule source is named and versioned</t>
        </is>
      </c>
      <c r="R113" s="68" t="inlineStr">
        <is>
          <t>Done</t>
        </is>
      </c>
      <c r="S113" s="68" t="n"/>
    </row>
    <row r="114" ht="23.85" customHeight="1" s="51">
      <c r="A114" s="62" t="inlineStr">
        <is>
          <t>NB-113</t>
        </is>
      </c>
      <c r="B114" s="62" t="inlineStr">
        <is>
          <t>E11 Clinical Workspace</t>
        </is>
      </c>
      <c r="C114" s="62" t="inlineStr">
        <is>
          <t>Clinical</t>
        </is>
      </c>
      <c r="D114" s="62" t="inlineStr">
        <is>
          <t>Pregnancy &amp; lactation warnings</t>
        </is>
      </c>
      <c r="E114" s="62" t="inlineStr">
        <is>
          <t>Fires without requiring the Gynaecology profile to be enabled.</t>
        </is>
      </c>
      <c r="F114" s="62" t="inlineStr">
        <is>
          <t>GYN-03</t>
        </is>
      </c>
      <c r="G114" s="62" t="inlineStr">
        <is>
          <t>Doctor</t>
        </is>
      </c>
      <c r="H114" s="62" t="inlineStr">
        <is>
          <t>Clinic</t>
        </is>
      </c>
      <c r="I114" s="62" t="inlineStr">
        <is>
          <t>Fullstack</t>
        </is>
      </c>
      <c r="J114" s="66" t="inlineStr">
        <is>
          <t>Must</t>
        </is>
      </c>
      <c r="K114" s="66" t="inlineStr">
        <is>
          <t>MVP</t>
        </is>
      </c>
      <c r="L114" s="66" t="n">
        <v>5</v>
      </c>
      <c r="M114" s="66" t="n">
        <v>14</v>
      </c>
      <c r="N114" s="62">
        <f>IF(M114&lt;=4,"R1 Foundation",IF(M114&lt;=8,"R2 Core Clinic",IF(M114&lt;=13,"R3 Revenue &amp; Messaging",IF(M114&lt;=18,"R4 Patient &amp; Platform",IF(M114&lt;=20,"R5 Harden","R6 Launch")))))</f>
        <v/>
      </c>
      <c r="O114" s="67">
        <f>L114*README!$B$32</f>
        <v/>
      </c>
      <c r="P114" s="62" t="inlineStr">
        <is>
          <t>NB-109</t>
        </is>
      </c>
      <c r="Q114" s="62" t="inlineStr">
        <is>
          <t>Warning fires for any patient of childbearing potential regardless of specialty profile</t>
        </is>
      </c>
      <c r="R114" s="62" t="inlineStr">
        <is>
          <t>Done</t>
        </is>
      </c>
      <c r="S114" s="62" t="n"/>
    </row>
    <row r="115" ht="23.85" customHeight="1" s="51">
      <c r="A115" s="68" t="inlineStr">
        <is>
          <t>NB-114</t>
        </is>
      </c>
      <c r="B115" s="68" t="inlineStr">
        <is>
          <t>E11 Clinical Workspace</t>
        </is>
      </c>
      <c r="C115" s="68" t="inlineStr">
        <is>
          <t>Clinical</t>
        </is>
      </c>
      <c r="D115" s="68" t="inlineStr">
        <is>
          <t>Favourite Rx sets</t>
        </is>
      </c>
      <c r="E115" s="68" t="inlineStr">
        <is>
          <t>Saved prescription sets per doctor.</t>
        </is>
      </c>
      <c r="F115" s="68" t="inlineStr">
        <is>
          <t>GP-06</t>
        </is>
      </c>
      <c r="G115" s="68" t="inlineStr">
        <is>
          <t>Doctor</t>
        </is>
      </c>
      <c r="H115" s="68" t="inlineStr">
        <is>
          <t>Clinic</t>
        </is>
      </c>
      <c r="I115" s="68" t="inlineStr">
        <is>
          <t>Fullstack</t>
        </is>
      </c>
      <c r="J115" s="69" t="inlineStr">
        <is>
          <t>Should</t>
        </is>
      </c>
      <c r="K115" s="69" t="inlineStr">
        <is>
          <t>MVP</t>
        </is>
      </c>
      <c r="L115" s="69" t="n">
        <v>5</v>
      </c>
      <c r="M115" s="69" t="n">
        <v>14</v>
      </c>
      <c r="N115" s="68">
        <f>IF(M115&lt;=4,"R1 Foundation",IF(M115&lt;=8,"R2 Core Clinic",IF(M115&lt;=13,"R3 Revenue &amp; Messaging",IF(M115&lt;=18,"R4 Patient &amp; Platform",IF(M115&lt;=20,"R5 Harden","R6 Launch")))))</f>
        <v/>
      </c>
      <c r="O115" s="70">
        <f>L115*README!$B$32</f>
        <v/>
      </c>
      <c r="P115" s="68" t="inlineStr">
        <is>
          <t>NB-109</t>
        </is>
      </c>
      <c r="Q115" s="68" t="inlineStr">
        <is>
          <t>Sets are per doctor with clinic defaults; applying a set still runs every safety check</t>
        </is>
      </c>
      <c r="R115" s="68" t="inlineStr">
        <is>
          <t>Done</t>
        </is>
      </c>
      <c r="S115" s="68" t="n"/>
    </row>
    <row r="116" ht="23.85" customHeight="1" s="51">
      <c r="A116" s="62" t="inlineStr">
        <is>
          <t>NB-115</t>
        </is>
      </c>
      <c r="B116" s="62" t="inlineStr">
        <is>
          <t>E11 Clinical Workspace</t>
        </is>
      </c>
      <c r="C116" s="62" t="inlineStr">
        <is>
          <t>Clinical</t>
        </is>
      </c>
      <c r="D116" s="62" t="inlineStr">
        <is>
          <t>Diagnosis coding &amp; encounter timeline</t>
        </is>
      </c>
      <c r="E116" s="62" t="inlineStr">
        <is>
          <t>ICD-10 search and a chronological encounter history respecting row-level scope.</t>
        </is>
      </c>
      <c r="F116" s="62" t="n"/>
      <c r="G116" s="62" t="inlineStr">
        <is>
          <t>Doctor,Nurse</t>
        </is>
      </c>
      <c r="H116" s="62" t="inlineStr">
        <is>
          <t>Clinic</t>
        </is>
      </c>
      <c r="I116" s="62" t="inlineStr">
        <is>
          <t>Fullstack</t>
        </is>
      </c>
      <c r="J116" s="66" t="inlineStr">
        <is>
          <t>Must</t>
        </is>
      </c>
      <c r="K116" s="66" t="inlineStr">
        <is>
          <t>MVP</t>
        </is>
      </c>
      <c r="L116" s="66" t="n">
        <v>5</v>
      </c>
      <c r="M116" s="66" t="n">
        <v>13</v>
      </c>
      <c r="N116" s="62">
        <f>IF(M116&lt;=4,"R1 Foundation",IF(M116&lt;=8,"R2 Core Clinic",IF(M116&lt;=13,"R3 Revenue &amp; Messaging",IF(M116&lt;=18,"R4 Patient &amp; Platform",IF(M116&lt;=20,"R5 Harden","R6 Launch")))))</f>
        <v/>
      </c>
      <c r="O116" s="67">
        <f>L116*README!$B$32</f>
        <v/>
      </c>
      <c r="P116" s="62" t="inlineStr">
        <is>
          <t>NB-103, NB-010</t>
        </is>
      </c>
      <c r="Q116" s="62" t="inlineStr">
        <is>
          <t>Coded diagnosis flows to reports; timeline paginates to five years</t>
        </is>
      </c>
      <c r="R116" s="62" t="inlineStr">
        <is>
          <t>Done</t>
        </is>
      </c>
      <c r="S116" s="62" t="n"/>
    </row>
    <row r="117" ht="23.85" customHeight="1" s="51">
      <c r="A117" s="68" t="inlineStr">
        <is>
          <t>NB-116</t>
        </is>
      </c>
      <c r="B117" s="68" t="inlineStr">
        <is>
          <t>E11 Clinical Workspace</t>
        </is>
      </c>
      <c r="C117" s="68" t="inlineStr">
        <is>
          <t>Clinical</t>
        </is>
      </c>
      <c r="D117" s="68" t="inlineStr">
        <is>
          <t>Follow-up scheduling &amp; treatment-linked recall engine</t>
        </is>
      </c>
      <c r="E117" s="68" t="inlineStr">
        <is>
          <t>Recall driven by the treatment performed, feeding reminders and the front-desk callback list on a miss.</t>
        </is>
      </c>
      <c r="F117" s="68" t="inlineStr">
        <is>
          <t>PAT-20,DENT-06</t>
        </is>
      </c>
      <c r="G117" s="68" t="inlineStr">
        <is>
          <t>Doctor,Reception</t>
        </is>
      </c>
      <c r="H117" s="68" t="inlineStr">
        <is>
          <t>Clinic</t>
        </is>
      </c>
      <c r="I117" s="68" t="inlineStr">
        <is>
          <t>Fullstack</t>
        </is>
      </c>
      <c r="J117" s="69" t="inlineStr">
        <is>
          <t>Must</t>
        </is>
      </c>
      <c r="K117" s="69" t="inlineStr">
        <is>
          <t>MVP</t>
        </is>
      </c>
      <c r="L117" s="69" t="n">
        <v>8</v>
      </c>
      <c r="M117" s="69" t="n">
        <v>14</v>
      </c>
      <c r="N117" s="68">
        <f>IF(M117&lt;=4,"R1 Foundation",IF(M117&lt;=8,"R2 Core Clinic",IF(M117&lt;=13,"R3 Revenue &amp; Messaging",IF(M117&lt;=18,"R4 Patient &amp; Platform",IF(M117&lt;=20,"R5 Harden","R6 Launch")))))</f>
        <v/>
      </c>
      <c r="O117" s="70">
        <f>L117*README!$B$32</f>
        <v/>
      </c>
      <c r="P117" s="68" t="inlineStr">
        <is>
          <t>NB-090, NB-102, NB-308</t>
        </is>
      </c>
      <c r="Q117" s="68" t="inlineStr">
        <is>
          <t>Recall is derived from the procedure; a 15-day miss routes to the callback list</t>
        </is>
      </c>
      <c r="R117" s="68" t="inlineStr">
        <is>
          <t>In progress</t>
        </is>
      </c>
      <c r="S117" s="68" t="n"/>
    </row>
    <row r="118" ht="23.85" customHeight="1" s="51">
      <c r="A118" s="62" t="inlineStr">
        <is>
          <t>NB-117</t>
        </is>
      </c>
      <c r="B118" s="62" t="inlineStr">
        <is>
          <t>E11 Clinical Workspace</t>
        </is>
      </c>
      <c r="C118" s="62" t="inlineStr">
        <is>
          <t>Clinical</t>
        </is>
      </c>
      <c r="D118" s="62" t="inlineStr">
        <is>
          <t>Print &amp; share visit outputs</t>
        </is>
      </c>
      <c r="E118" s="62" t="inlineStr">
        <is>
          <t>Prescription, summary and instructions printed or shared, always via the secure link path.</t>
        </is>
      </c>
      <c r="F118" s="62" t="inlineStr">
        <is>
          <t>DOC-11,SYS-18</t>
        </is>
      </c>
      <c r="G118" s="62" t="inlineStr">
        <is>
          <t>Doctor</t>
        </is>
      </c>
      <c r="H118" s="62" t="inlineStr">
        <is>
          <t>Clinic</t>
        </is>
      </c>
      <c r="I118" s="62" t="inlineStr">
        <is>
          <t>Fullstack</t>
        </is>
      </c>
      <c r="J118" s="66" t="inlineStr">
        <is>
          <t>Must</t>
        </is>
      </c>
      <c r="K118" s="66" t="inlineStr">
        <is>
          <t>MVP</t>
        </is>
      </c>
      <c r="L118" s="66" t="n">
        <v>5</v>
      </c>
      <c r="M118" s="66" t="n">
        <v>15</v>
      </c>
      <c r="N118" s="62">
        <f>IF(M118&lt;=4,"R1 Foundation",IF(M118&lt;=8,"R2 Core Clinic",IF(M118&lt;=13,"R3 Revenue &amp; Messaging",IF(M118&lt;=18,"R4 Patient &amp; Platform",IF(M118&lt;=20,"R5 Harden","R6 Launch")))))</f>
        <v/>
      </c>
      <c r="O118" s="67">
        <f>L118*README!$B$32</f>
        <v/>
      </c>
      <c r="P118" s="62" t="inlineStr">
        <is>
          <t>NB-103, NB-076</t>
        </is>
      </c>
      <c r="Q118" s="62" t="inlineStr">
        <is>
          <t>Output carries clinic letterhead and doctor registration number</t>
        </is>
      </c>
      <c r="R118" s="62" t="inlineStr">
        <is>
          <t>Not started</t>
        </is>
      </c>
      <c r="S118" s="62" t="n"/>
    </row>
    <row r="119" ht="23.85" customHeight="1" s="51">
      <c r="A119" s="68" t="inlineStr">
        <is>
          <t>NB-118</t>
        </is>
      </c>
      <c r="B119" s="68" t="inlineStr">
        <is>
          <t>E11 Clinical Workspace</t>
        </is>
      </c>
      <c r="C119" s="68" t="inlineStr">
        <is>
          <t>Clinical</t>
        </is>
      </c>
      <c r="D119" s="68" t="inlineStr">
        <is>
          <t>Referral letters &amp; medical certificates</t>
        </is>
      </c>
      <c r="E119" s="68" t="inlineStr">
        <is>
          <t>Referral letter generation and medical / sick-leave certificates.</t>
        </is>
      </c>
      <c r="F119" s="68" t="inlineStr">
        <is>
          <t>GP-04,GP-07</t>
        </is>
      </c>
      <c r="G119" s="68" t="inlineStr">
        <is>
          <t>Doctor</t>
        </is>
      </c>
      <c r="H119" s="68" t="inlineStr">
        <is>
          <t>Clinic</t>
        </is>
      </c>
      <c r="I119" s="68" t="inlineStr">
        <is>
          <t>Fullstack</t>
        </is>
      </c>
      <c r="J119" s="69" t="inlineStr">
        <is>
          <t>Should</t>
        </is>
      </c>
      <c r="K119" s="69" t="inlineStr">
        <is>
          <t>MVP</t>
        </is>
      </c>
      <c r="L119" s="69" t="n">
        <v>5</v>
      </c>
      <c r="M119" s="69" t="n">
        <v>15</v>
      </c>
      <c r="N119" s="68">
        <f>IF(M119&lt;=4,"R1 Foundation",IF(M119&lt;=8,"R2 Core Clinic",IF(M119&lt;=13,"R3 Revenue &amp; Messaging",IF(M119&lt;=18,"R4 Patient &amp; Platform",IF(M119&lt;=20,"R5 Harden","R6 Launch")))))</f>
        <v/>
      </c>
      <c r="O119" s="70">
        <f>L119*README!$B$32</f>
        <v/>
      </c>
      <c r="P119" s="68" t="inlineStr">
        <is>
          <t>NB-117</t>
        </is>
      </c>
      <c r="Q119" s="68" t="inlineStr">
        <is>
          <t>Generated PDF is valid in both regions and in all three languages</t>
        </is>
      </c>
      <c r="R119" s="68" t="inlineStr">
        <is>
          <t>Not started</t>
        </is>
      </c>
      <c r="S119" s="68" t="n"/>
    </row>
    <row r="120" ht="23.85" customHeight="1" s="51">
      <c r="A120" s="62" t="inlineStr">
        <is>
          <t>NB-119</t>
        </is>
      </c>
      <c r="B120" s="62" t="inlineStr">
        <is>
          <t>E11 Clinical Workspace</t>
        </is>
      </c>
      <c r="C120" s="62" t="inlineStr">
        <is>
          <t>Clinical</t>
        </is>
      </c>
      <c r="D120" s="62" t="inlineStr">
        <is>
          <t>Procedure consent capture &amp; signature</t>
        </is>
      </c>
      <c r="E120" s="62" t="inlineStr">
        <is>
          <t>Signed consent gates the procedure — it cannot proceed unsigned.</t>
        </is>
      </c>
      <c r="F120" s="62" t="inlineStr">
        <is>
          <t>DOC-09</t>
        </is>
      </c>
      <c r="G120" s="62" t="inlineStr">
        <is>
          <t>Doctor,Nurse</t>
        </is>
      </c>
      <c r="H120" s="62" t="inlineStr">
        <is>
          <t>Clinic</t>
        </is>
      </c>
      <c r="I120" s="62" t="inlineStr">
        <is>
          <t>Fullstack</t>
        </is>
      </c>
      <c r="J120" s="66" t="inlineStr">
        <is>
          <t>Must</t>
        </is>
      </c>
      <c r="K120" s="66" t="inlineStr">
        <is>
          <t>MVP</t>
        </is>
      </c>
      <c r="L120" s="66" t="n">
        <v>5</v>
      </c>
      <c r="M120" s="66" t="n">
        <v>15</v>
      </c>
      <c r="N120" s="62">
        <f>IF(M120&lt;=4,"R1 Foundation",IF(M120&lt;=8,"R2 Core Clinic",IF(M120&lt;=13,"R3 Revenue &amp; Messaging",IF(M120&lt;=18,"R4 Patient &amp; Platform",IF(M120&lt;=20,"R5 Harden","R6 Launch")))))</f>
        <v/>
      </c>
      <c r="O120" s="67">
        <f>L120*README!$B$32</f>
        <v/>
      </c>
      <c r="P120" s="62" t="inlineStr">
        <is>
          <t>NB-102, NB-242</t>
        </is>
      </c>
      <c r="Q120" s="62" t="inlineStr">
        <is>
          <t>Procedure cannot be started without a recorded signature</t>
        </is>
      </c>
      <c r="R120" s="62" t="inlineStr">
        <is>
          <t>Done</t>
        </is>
      </c>
      <c r="S120" s="62" t="n"/>
    </row>
    <row r="121" ht="23.85" customHeight="1" s="51">
      <c r="A121" s="68" t="inlineStr">
        <is>
          <t>NB-120</t>
        </is>
      </c>
      <c r="B121" s="68" t="inlineStr">
        <is>
          <t>E11 Clinical Workspace</t>
        </is>
      </c>
      <c r="C121" s="68" t="inlineStr">
        <is>
          <t>Clinical</t>
        </is>
      </c>
      <c r="D121" s="68" t="inlineStr">
        <is>
          <t>Clinical settings per doctor and clinic</t>
        </is>
      </c>
      <c r="E121" s="68" t="inlineStr">
        <is>
          <t>Note defaults, favourite drugs, template management, consultation duration, dental numbering system.</t>
        </is>
      </c>
      <c r="F121" s="68" t="inlineStr">
        <is>
          <t>DENT-01</t>
        </is>
      </c>
      <c r="G121" s="68" t="inlineStr">
        <is>
          <t>Doctor,Owner</t>
        </is>
      </c>
      <c r="H121" s="68" t="inlineStr">
        <is>
          <t>Clinic</t>
        </is>
      </c>
      <c r="I121" s="68" t="inlineStr">
        <is>
          <t>Frontend</t>
        </is>
      </c>
      <c r="J121" s="69" t="inlineStr">
        <is>
          <t>Should</t>
        </is>
      </c>
      <c r="K121" s="69" t="inlineStr">
        <is>
          <t>MVP</t>
        </is>
      </c>
      <c r="L121" s="69" t="n">
        <v>3</v>
      </c>
      <c r="M121" s="69" t="n">
        <v>15</v>
      </c>
      <c r="N121" s="68">
        <f>IF(M121&lt;=4,"R1 Foundation",IF(M121&lt;=8,"R2 Core Clinic",IF(M121&lt;=13,"R3 Revenue &amp; Messaging",IF(M121&lt;=18,"R4 Patient &amp; Platform",IF(M121&lt;=20,"R5 Harden","R6 Launch")))))</f>
        <v/>
      </c>
      <c r="O121" s="70">
        <f>L121*README!$B$32</f>
        <v/>
      </c>
      <c r="P121" s="68" t="inlineStr">
        <is>
          <t>NB-103</t>
        </is>
      </c>
      <c r="Q121" s="68" t="inlineStr">
        <is>
          <t>Dental numbering is chosen once clinic-wide; storage stays FDI-keyed and switching loses no data</t>
        </is>
      </c>
      <c r="R121" s="68" t="inlineStr">
        <is>
          <t>Not started</t>
        </is>
      </c>
      <c r="S121" s="68" t="n"/>
    </row>
    <row r="122" ht="23.85" customHeight="1" s="51">
      <c r="A122" s="62" t="inlineStr">
        <is>
          <t>NB-121</t>
        </is>
      </c>
      <c r="B122" s="62" t="inlineStr">
        <is>
          <t>E12 Specialty Workspaces</t>
        </is>
      </c>
      <c r="C122" s="62" t="inlineStr">
        <is>
          <t>Specialty</t>
        </is>
      </c>
      <c r="D122" s="62" t="inlineStr">
        <is>
          <t>Specialty profile framework &amp; entitlement gating</t>
        </is>
      </c>
      <c r="E122" s="62" t="inlineStr">
        <is>
          <t>Per-specialty workspaces switched on by profile and subscription; historical data stays readable when a trial ends.</t>
        </is>
      </c>
      <c r="F122" s="62" t="inlineStr">
        <is>
          <t>DENT-06,DENT-07,DERM-04,DERM-07</t>
        </is>
      </c>
      <c r="G122" s="62" t="inlineStr">
        <is>
          <t>Doctor</t>
        </is>
      </c>
      <c r="H122" s="62" t="inlineStr">
        <is>
          <t>Clinic</t>
        </is>
      </c>
      <c r="I122" s="62" t="inlineStr">
        <is>
          <t>Fullstack</t>
        </is>
      </c>
      <c r="J122" s="66" t="inlineStr">
        <is>
          <t>Must</t>
        </is>
      </c>
      <c r="K122" s="66" t="inlineStr">
        <is>
          <t>MVP</t>
        </is>
      </c>
      <c r="L122" s="66" t="n">
        <v>8</v>
      </c>
      <c r="M122" s="66" t="n">
        <v>14</v>
      </c>
      <c r="N122" s="62">
        <f>IF(M122&lt;=4,"R1 Foundation",IF(M122&lt;=8,"R2 Core Clinic",IF(M122&lt;=13,"R3 Revenue &amp; Messaging",IF(M122&lt;=18,"R4 Patient &amp; Platform",IF(M122&lt;=20,"R5 Harden","R6 Launch")))))</f>
        <v/>
      </c>
      <c r="O122" s="67">
        <f>L122*README!$B$32</f>
        <v/>
      </c>
      <c r="P122" s="62" t="inlineStr">
        <is>
          <t>NB-103, NB-008</t>
        </is>
      </c>
      <c r="Q122" s="62" t="inlineStr">
        <is>
          <t>Ending a trial locks new entry but leaves historical data readable</t>
        </is>
      </c>
      <c r="R122" s="62" t="inlineStr">
        <is>
          <t>In progress</t>
        </is>
      </c>
      <c r="S122" s="62" t="n"/>
    </row>
    <row r="123" ht="23.85" customHeight="1" s="51">
      <c r="A123" s="68" t="inlineStr">
        <is>
          <t>NB-122</t>
        </is>
      </c>
      <c r="B123" s="68" t="inlineStr">
        <is>
          <t>E12 Specialty Workspaces</t>
        </is>
      </c>
      <c r="C123" s="68" t="inlineStr">
        <is>
          <t>Specialty</t>
        </is>
      </c>
      <c r="D123" s="68" t="inlineStr">
        <is>
          <t>Dental chart — FDI storage with selectable display numbering</t>
        </is>
      </c>
      <c r="E123" s="68" t="inlineStr">
        <is>
          <t>Numbering chosen once clinic-wide; storage always keyed by FDI so switching loses no data. Includes supernumerary teeth.</t>
        </is>
      </c>
      <c r="F123" s="68" t="inlineStr">
        <is>
          <t>DENT-01</t>
        </is>
      </c>
      <c r="G123" s="68" t="inlineStr">
        <is>
          <t>Doctor</t>
        </is>
      </c>
      <c r="H123" s="68" t="inlineStr">
        <is>
          <t>Clinic</t>
        </is>
      </c>
      <c r="I123" s="68" t="inlineStr">
        <is>
          <t>Fullstack</t>
        </is>
      </c>
      <c r="J123" s="69" t="inlineStr">
        <is>
          <t>Must</t>
        </is>
      </c>
      <c r="K123" s="69" t="inlineStr">
        <is>
          <t>MVP</t>
        </is>
      </c>
      <c r="L123" s="69" t="n">
        <v>13</v>
      </c>
      <c r="M123" s="69" t="n">
        <v>15</v>
      </c>
      <c r="N123" s="68">
        <f>IF(M123&lt;=4,"R1 Foundation",IF(M123&lt;=8,"R2 Core Clinic",IF(M123&lt;=13,"R3 Revenue &amp; Messaging",IF(M123&lt;=18,"R4 Patient &amp; Platform",IF(M123&lt;=20,"R5 Harden","R6 Launch")))))</f>
        <v/>
      </c>
      <c r="O123" s="70">
        <f>L123*README!$B$32</f>
        <v/>
      </c>
      <c r="P123" s="68" t="inlineStr">
        <is>
          <t>NB-121, NB-032</t>
        </is>
      </c>
      <c r="Q123" s="68" t="inlineStr">
        <is>
          <t>Switching numbering system loses no data; supernumerary teeth are representable</t>
        </is>
      </c>
      <c r="R123" s="68" t="inlineStr">
        <is>
          <t>Done</t>
        </is>
      </c>
      <c r="S123" s="68" t="n"/>
    </row>
    <row r="124" ht="23.85" customHeight="1" s="51">
      <c r="A124" s="62" t="inlineStr">
        <is>
          <t>NB-123</t>
        </is>
      </c>
      <c r="B124" s="62" t="inlineStr">
        <is>
          <t>E12 Specialty Workspaces</t>
        </is>
      </c>
      <c r="C124" s="62" t="inlineStr">
        <is>
          <t>Specialty</t>
        </is>
      </c>
      <c r="D124" s="62" t="inlineStr">
        <is>
          <t>Tooth-linked radiograph library</t>
        </is>
      </c>
      <c r="E124" s="62" t="inlineStr">
        <is>
          <t>Radiographs linked to a tooth and reachable directly from the chart.</t>
        </is>
      </c>
      <c r="F124" s="62" t="inlineStr">
        <is>
          <t>DENT-02</t>
        </is>
      </c>
      <c r="G124" s="62" t="inlineStr">
        <is>
          <t>Doctor</t>
        </is>
      </c>
      <c r="H124" s="62" t="inlineStr">
        <is>
          <t>Clinic</t>
        </is>
      </c>
      <c r="I124" s="62" t="inlineStr">
        <is>
          <t>Fullstack</t>
        </is>
      </c>
      <c r="J124" s="66" t="inlineStr">
        <is>
          <t>Must</t>
        </is>
      </c>
      <c r="K124" s="66" t="inlineStr">
        <is>
          <t>MVP</t>
        </is>
      </c>
      <c r="L124" s="66" t="n">
        <v>8</v>
      </c>
      <c r="M124" s="66" t="n">
        <v>16</v>
      </c>
      <c r="N124" s="62">
        <f>IF(M124&lt;=4,"R1 Foundation",IF(M124&lt;=8,"R2 Core Clinic",IF(M124&lt;=13,"R3 Revenue &amp; Messaging",IF(M124&lt;=18,"R4 Patient &amp; Platform",IF(M124&lt;=20,"R5 Harden","R6 Launch")))))</f>
        <v/>
      </c>
      <c r="O124" s="67">
        <f>L124*README!$B$32</f>
        <v/>
      </c>
      <c r="P124" s="62" t="inlineStr">
        <is>
          <t>NB-122, NB-075</t>
        </is>
      </c>
      <c r="Q124" s="62" t="inlineStr">
        <is>
          <t>A radiograph opens from the tooth it belongs to in one tap</t>
        </is>
      </c>
      <c r="R124" s="62" t="inlineStr">
        <is>
          <t>Not started</t>
        </is>
      </c>
      <c r="S124" s="62" t="n"/>
    </row>
    <row r="125" ht="23.85" customHeight="1" s="51">
      <c r="A125" s="68" t="inlineStr">
        <is>
          <t>NB-124</t>
        </is>
      </c>
      <c r="B125" s="68" t="inlineStr">
        <is>
          <t>E12 Specialty Workspaces</t>
        </is>
      </c>
      <c r="C125" s="68" t="inlineStr">
        <is>
          <t>Specialty</t>
        </is>
      </c>
      <c r="D125" s="68" t="inlineStr">
        <is>
          <t>Implant &amp; crown staging with lab work</t>
        </is>
      </c>
      <c r="E125" s="68" t="inlineStr">
        <is>
          <t>Stage order shown as dashed outline plus superscript — form, not a new colour.</t>
        </is>
      </c>
      <c r="F125" s="68" t="inlineStr">
        <is>
          <t>DENT-05</t>
        </is>
      </c>
      <c r="G125" s="68" t="inlineStr">
        <is>
          <t>Doctor</t>
        </is>
      </c>
      <c r="H125" s="68" t="inlineStr">
        <is>
          <t>Clinic</t>
        </is>
      </c>
      <c r="I125" s="68" t="inlineStr">
        <is>
          <t>Fullstack</t>
        </is>
      </c>
      <c r="J125" s="69" t="inlineStr">
        <is>
          <t>Should</t>
        </is>
      </c>
      <c r="K125" s="69" t="inlineStr">
        <is>
          <t>MVP</t>
        </is>
      </c>
      <c r="L125" s="69" t="n">
        <v>8</v>
      </c>
      <c r="M125" s="69" t="n">
        <v>16</v>
      </c>
      <c r="N125" s="68">
        <f>IF(M125&lt;=4,"R1 Foundation",IF(M125&lt;=8,"R2 Core Clinic",IF(M125&lt;=13,"R3 Revenue &amp; Messaging",IF(M125&lt;=18,"R4 Patient &amp; Platform",IF(M125&lt;=20,"R5 Harden","R6 Launch")))))</f>
        <v/>
      </c>
      <c r="O125" s="70">
        <f>L125*README!$B$32</f>
        <v/>
      </c>
      <c r="P125" s="68" t="inlineStr">
        <is>
          <t>NB-122</t>
        </is>
      </c>
      <c r="Q125" s="68" t="inlineStr">
        <is>
          <t>Stage order is conveyed without introducing a colour outside the palette</t>
        </is>
      </c>
      <c r="R125" s="68" t="inlineStr">
        <is>
          <t>Not started</t>
        </is>
      </c>
      <c r="S125" s="68" t="n"/>
    </row>
    <row r="126" ht="23.85" customHeight="1" s="51">
      <c r="A126" s="62" t="inlineStr">
        <is>
          <t>NB-125</t>
        </is>
      </c>
      <c r="B126" s="62" t="inlineStr">
        <is>
          <t>E12 Specialty Workspaces</t>
        </is>
      </c>
      <c r="C126" s="62" t="inlineStr">
        <is>
          <t>Specialty</t>
        </is>
      </c>
      <c r="D126" s="62" t="inlineStr">
        <is>
          <t>Orthodontic plans with auto-scheduled adjustments</t>
        </is>
      </c>
      <c r="E126" s="62" t="inlineStr">
        <is>
          <t>Monthly adjustments scheduled through the recall engine; a 15-day miss routes to the front-desk callback list.</t>
        </is>
      </c>
      <c r="F126" s="62" t="inlineStr">
        <is>
          <t>DENT-06,PAT-20</t>
        </is>
      </c>
      <c r="G126" s="62" t="inlineStr">
        <is>
          <t>Doctor</t>
        </is>
      </c>
      <c r="H126" s="62" t="inlineStr">
        <is>
          <t>Clinic</t>
        </is>
      </c>
      <c r="I126" s="62" t="inlineStr">
        <is>
          <t>Fullstack</t>
        </is>
      </c>
      <c r="J126" s="66" t="inlineStr">
        <is>
          <t>Should</t>
        </is>
      </c>
      <c r="K126" s="66" t="inlineStr">
        <is>
          <t>Phase 2</t>
        </is>
      </c>
      <c r="L126" s="66" t="n">
        <v>8</v>
      </c>
      <c r="M126" s="66" t="n">
        <v>17</v>
      </c>
      <c r="N126" s="62">
        <f>IF(M126&lt;=4,"R1 Foundation",IF(M126&lt;=8,"R2 Core Clinic",IF(M126&lt;=13,"R3 Revenue &amp; Messaging",IF(M126&lt;=18,"R4 Patient &amp; Platform",IF(M126&lt;=20,"R5 Harden","R6 Launch")))))</f>
        <v/>
      </c>
      <c r="O126" s="67">
        <f>L126*README!$B$32</f>
        <v/>
      </c>
      <c r="P126" s="62" t="inlineStr">
        <is>
          <t>NB-122, NB-116</t>
        </is>
      </c>
      <c r="Q126" s="62" t="inlineStr">
        <is>
          <t>Adjustments auto-schedule; missed adjustment appears on the callback list</t>
        </is>
      </c>
      <c r="R126" s="62" t="inlineStr">
        <is>
          <t>Not started</t>
        </is>
      </c>
      <c r="S126" s="62" t="n"/>
    </row>
    <row r="127" ht="23.85" customHeight="1" s="51">
      <c r="A127" s="68" t="inlineStr">
        <is>
          <t>NB-126</t>
        </is>
      </c>
      <c r="B127" s="68" t="inlineStr">
        <is>
          <t>E12 Specialty Workspaces</t>
        </is>
      </c>
      <c r="C127" s="68" t="inlineStr">
        <is>
          <t>Specialty</t>
        </is>
      </c>
      <c r="D127" s="68" t="inlineStr">
        <is>
          <t>Dental treatment plan, estimate, approval &amp; booking</t>
        </is>
      </c>
      <c r="E127" s="68" t="inlineStr">
        <is>
          <t>Extends the price-transparency estimate flow into a staged dental plan.</t>
        </is>
      </c>
      <c r="F127" s="68" t="inlineStr">
        <is>
          <t>DENT-07,BIL-07</t>
        </is>
      </c>
      <c r="G127" s="68" t="inlineStr">
        <is>
          <t>Doctor,Reception</t>
        </is>
      </c>
      <c r="H127" s="68" t="inlineStr">
        <is>
          <t>Clinic</t>
        </is>
      </c>
      <c r="I127" s="68" t="inlineStr">
        <is>
          <t>Fullstack</t>
        </is>
      </c>
      <c r="J127" s="69" t="inlineStr">
        <is>
          <t>Should</t>
        </is>
      </c>
      <c r="K127" s="69" t="inlineStr">
        <is>
          <t>Phase 2</t>
        </is>
      </c>
      <c r="L127" s="69" t="n">
        <v>8</v>
      </c>
      <c r="M127" s="69" t="n">
        <v>17</v>
      </c>
      <c r="N127" s="68">
        <f>IF(M127&lt;=4,"R1 Foundation",IF(M127&lt;=8,"R2 Core Clinic",IF(M127&lt;=13,"R3 Revenue &amp; Messaging",IF(M127&lt;=18,"R4 Patient &amp; Platform",IF(M127&lt;=20,"R5 Harden","R6 Launch")))))</f>
        <v/>
      </c>
      <c r="O127" s="70">
        <f>L127*README!$B$32</f>
        <v/>
      </c>
      <c r="P127" s="68" t="inlineStr">
        <is>
          <t>NB-122, NB-170</t>
        </is>
      </c>
      <c r="Q127" s="68" t="inlineStr">
        <is>
          <t>Estimate converts to an approved plan and then to bookings without re-entry</t>
        </is>
      </c>
      <c r="R127" s="68" t="inlineStr">
        <is>
          <t>Not started</t>
        </is>
      </c>
      <c r="S127" s="68" t="n"/>
    </row>
    <row r="128" ht="35.05" customHeight="1" s="51">
      <c r="A128" s="62" t="inlineStr">
        <is>
          <t>NB-127</t>
        </is>
      </c>
      <c r="B128" s="62" t="inlineStr">
        <is>
          <t>E12 Specialty Workspaces</t>
        </is>
      </c>
      <c r="C128" s="62" t="inlineStr">
        <is>
          <t>Specialty</t>
        </is>
      </c>
      <c r="D128" s="62" t="inlineStr">
        <is>
          <t>Per-tooth timeline</t>
        </is>
      </c>
      <c r="E128" s="62" t="inlineStr">
        <is>
          <t>Everything ever done to a tooth — procedures, radiographs, medicines, materials — one tap from the chart. Roadmap state, not a purchasable upsell.</t>
        </is>
      </c>
      <c r="F128" s="62" t="inlineStr">
        <is>
          <t>DENT-08</t>
        </is>
      </c>
      <c r="G128" s="62" t="inlineStr">
        <is>
          <t>Doctor</t>
        </is>
      </c>
      <c r="H128" s="62" t="inlineStr">
        <is>
          <t>Clinic</t>
        </is>
      </c>
      <c r="I128" s="62" t="inlineStr">
        <is>
          <t>Fullstack</t>
        </is>
      </c>
      <c r="J128" s="66" t="inlineStr">
        <is>
          <t>Could</t>
        </is>
      </c>
      <c r="K128" s="66" t="inlineStr">
        <is>
          <t>Phase 3</t>
        </is>
      </c>
      <c r="L128" s="66" t="n">
        <v>8</v>
      </c>
      <c r="M128" s="66" t="n">
        <v>22</v>
      </c>
      <c r="N128" s="62">
        <f>IF(M128&lt;=4,"R1 Foundation",IF(M128&lt;=8,"R2 Core Clinic",IF(M128&lt;=13,"R3 Revenue &amp; Messaging",IF(M128&lt;=18,"R4 Patient &amp; Platform",IF(M128&lt;=20,"R5 Harden","R6 Launch")))))</f>
        <v/>
      </c>
      <c r="O128" s="67">
        <f>L128*README!$B$32</f>
        <v/>
      </c>
      <c r="P128" s="62" t="inlineStr">
        <is>
          <t>NB-122</t>
        </is>
      </c>
      <c r="Q128" s="62" t="inlineStr">
        <is>
          <t>Presented as a roadmap state and not offered for purchase</t>
        </is>
      </c>
      <c r="R128" s="62" t="inlineStr">
        <is>
          <t>Done</t>
        </is>
      </c>
      <c r="S128" s="62" t="n"/>
    </row>
    <row r="129" ht="23.85" customHeight="1" s="51">
      <c r="A129" s="68" t="inlineStr">
        <is>
          <t>NB-128</t>
        </is>
      </c>
      <c r="B129" s="68" t="inlineStr">
        <is>
          <t>E12 Specialty Workspaces</t>
        </is>
      </c>
      <c r="C129" s="68" t="inlineStr">
        <is>
          <t>Specialty</t>
        </is>
      </c>
      <c r="D129" s="68" t="inlineStr">
        <is>
          <t>Dermatology body map &amp; photo capture</t>
        </is>
      </c>
      <c r="E129" s="68" t="inlineStr">
        <is>
          <t>Fixed left-to-right anatomy with both ends labelled; photo series attached to a mapped site.</t>
        </is>
      </c>
      <c r="F129" s="68" t="inlineStr">
        <is>
          <t>DERM-04</t>
        </is>
      </c>
      <c r="G129" s="68" t="inlineStr">
        <is>
          <t>Doctor</t>
        </is>
      </c>
      <c r="H129" s="68" t="inlineStr">
        <is>
          <t>Clinic</t>
        </is>
      </c>
      <c r="I129" s="68" t="inlineStr">
        <is>
          <t>Fullstack</t>
        </is>
      </c>
      <c r="J129" s="69" t="inlineStr">
        <is>
          <t>Must</t>
        </is>
      </c>
      <c r="K129" s="69" t="inlineStr">
        <is>
          <t>MVP</t>
        </is>
      </c>
      <c r="L129" s="69" t="n">
        <v>8</v>
      </c>
      <c r="M129" s="69" t="n">
        <v>16</v>
      </c>
      <c r="N129" s="68">
        <f>IF(M129&lt;=4,"R1 Foundation",IF(M129&lt;=8,"R2 Core Clinic",IF(M129&lt;=13,"R3 Revenue &amp; Messaging",IF(M129&lt;=18,"R4 Patient &amp; Platform",IF(M129&lt;=20,"R5 Harden","R6 Launch")))))</f>
        <v/>
      </c>
      <c r="O129" s="70">
        <f>L129*README!$B$32</f>
        <v/>
      </c>
      <c r="P129" s="68" t="inlineStr">
        <is>
          <t>NB-121, NB-032</t>
        </is>
      </c>
      <c r="Q129" s="68" t="inlineStr">
        <is>
          <t>Body map does not mirror in Arabic and carries explicit end labels</t>
        </is>
      </c>
      <c r="R129" s="68" t="inlineStr">
        <is>
          <t>Not started</t>
        </is>
      </c>
      <c r="S129" s="68" t="n"/>
    </row>
    <row r="130" ht="23.85" customHeight="1" s="51">
      <c r="A130" s="62" t="inlineStr">
        <is>
          <t>NB-129</t>
        </is>
      </c>
      <c r="B130" s="62" t="inlineStr">
        <is>
          <t>E12 Specialty Workspaces</t>
        </is>
      </c>
      <c r="C130" s="62" t="inlineStr">
        <is>
          <t>Specialty</t>
        </is>
      </c>
      <c r="D130" s="62" t="inlineStr">
        <is>
          <t>Dermatology reading appointment auto-creation</t>
        </is>
      </c>
      <c r="E130" s="62" t="inlineStr">
        <is>
          <t>The reading appointment is created with the order — never a second manual step.</t>
        </is>
      </c>
      <c r="F130" s="62" t="inlineStr">
        <is>
          <t>DERM-04</t>
        </is>
      </c>
      <c r="G130" s="62" t="inlineStr">
        <is>
          <t>Doctor,Reception</t>
        </is>
      </c>
      <c r="H130" s="62" t="inlineStr">
        <is>
          <t>Clinic</t>
        </is>
      </c>
      <c r="I130" s="62" t="inlineStr">
        <is>
          <t>Backend</t>
        </is>
      </c>
      <c r="J130" s="66" t="inlineStr">
        <is>
          <t>Must</t>
        </is>
      </c>
      <c r="K130" s="66" t="inlineStr">
        <is>
          <t>MVP</t>
        </is>
      </c>
      <c r="L130" s="66" t="n">
        <v>5</v>
      </c>
      <c r="M130" s="66" t="n">
        <v>16</v>
      </c>
      <c r="N130" s="62">
        <f>IF(M130&lt;=4,"R1 Foundation",IF(M130&lt;=8,"R2 Core Clinic",IF(M130&lt;=13,"R3 Revenue &amp; Messaging",IF(M130&lt;=18,"R4 Patient &amp; Platform",IF(M130&lt;=20,"R5 Harden","R6 Launch")))))</f>
        <v/>
      </c>
      <c r="O130" s="67">
        <f>L130*README!$B$32</f>
        <v/>
      </c>
      <c r="P130" s="62" t="inlineStr">
        <is>
          <t>NB-128, NB-090</t>
        </is>
      </c>
      <c r="Q130" s="62" t="inlineStr">
        <is>
          <t>Ordering creates the reading appointment atomically</t>
        </is>
      </c>
      <c r="R130" s="62" t="inlineStr">
        <is>
          <t>Not started</t>
        </is>
      </c>
      <c r="S130" s="62" t="n"/>
    </row>
    <row r="131" ht="23.85" customHeight="1" s="51">
      <c r="A131" s="68" t="inlineStr">
        <is>
          <t>NB-130</t>
        </is>
      </c>
      <c r="B131" s="68" t="inlineStr">
        <is>
          <t>E12 Specialty Workspaces</t>
        </is>
      </c>
      <c r="C131" s="68" t="inlineStr">
        <is>
          <t>Specialty</t>
        </is>
      </c>
      <c r="D131" s="68" t="inlineStr">
        <is>
          <t>Photo follow-up reminders</t>
        </is>
      </c>
      <c r="E131" s="68" t="inlineStr">
        <is>
          <t>Timed photo requests back to the patient on the messaging channel.</t>
        </is>
      </c>
      <c r="F131" s="68" t="inlineStr">
        <is>
          <t>DERM-06,SYS-11</t>
        </is>
      </c>
      <c r="G131" s="68" t="inlineStr">
        <is>
          <t>Doctor,Patient</t>
        </is>
      </c>
      <c r="H131" s="68" t="inlineStr">
        <is>
          <t>Patient</t>
        </is>
      </c>
      <c r="I131" s="68" t="inlineStr">
        <is>
          <t>Fullstack</t>
        </is>
      </c>
      <c r="J131" s="69" t="inlineStr">
        <is>
          <t>Should</t>
        </is>
      </c>
      <c r="K131" s="69" t="inlineStr">
        <is>
          <t>Phase 2</t>
        </is>
      </c>
      <c r="L131" s="69" t="n">
        <v>5</v>
      </c>
      <c r="M131" s="69" t="n">
        <v>18</v>
      </c>
      <c r="N131" s="68">
        <f>IF(M131&lt;=4,"R1 Foundation",IF(M131&lt;=8,"R2 Core Clinic",IF(M131&lt;=13,"R3 Revenue &amp; Messaging",IF(M131&lt;=18,"R4 Patient &amp; Platform",IF(M131&lt;=20,"R5 Harden","R6 Launch")))))</f>
        <v/>
      </c>
      <c r="O131" s="70">
        <f>L131*README!$B$32</f>
        <v/>
      </c>
      <c r="P131" s="68" t="inlineStr">
        <is>
          <t>NB-128, NB-197</t>
        </is>
      </c>
      <c r="Q131" s="68" t="inlineStr">
        <is>
          <t>Reminder fires on schedule and the returned photo attaches to the correct site</t>
        </is>
      </c>
      <c r="R131" s="68" t="inlineStr">
        <is>
          <t>Not started</t>
        </is>
      </c>
      <c r="S131" s="68" t="n"/>
    </row>
    <row r="132" ht="23.85" customHeight="1" s="51">
      <c r="A132" s="62" t="inlineStr">
        <is>
          <t>NB-131</t>
        </is>
      </c>
      <c r="B132" s="62" t="inlineStr">
        <is>
          <t>E12 Specialty Workspaces</t>
        </is>
      </c>
      <c r="C132" s="62" t="inlineStr">
        <is>
          <t>Specialty</t>
        </is>
      </c>
      <c r="D132" s="62" t="inlineStr">
        <is>
          <t>Paediatric vaccination register &amp; due lists</t>
        </is>
      </c>
      <c r="E132" s="62" t="inlineStr">
        <is>
          <t>Vaccines due, given, overdue and catch-up, from a versioned clinical source.</t>
        </is>
      </c>
      <c r="F132" s="62" t="inlineStr">
        <is>
          <t>PED-01,PED-08</t>
        </is>
      </c>
      <c r="G132" s="62" t="inlineStr">
        <is>
          <t>Nurse,Doctor</t>
        </is>
      </c>
      <c r="H132" s="62" t="inlineStr">
        <is>
          <t>Clinic</t>
        </is>
      </c>
      <c r="I132" s="62" t="inlineStr">
        <is>
          <t>Fullstack</t>
        </is>
      </c>
      <c r="J132" s="66" t="inlineStr">
        <is>
          <t>Must</t>
        </is>
      </c>
      <c r="K132" s="66" t="inlineStr">
        <is>
          <t>MVP</t>
        </is>
      </c>
      <c r="L132" s="66" t="n">
        <v>8</v>
      </c>
      <c r="M132" s="66" t="n">
        <v>15</v>
      </c>
      <c r="N132" s="62">
        <f>IF(M132&lt;=4,"R1 Foundation",IF(M132&lt;=8,"R2 Core Clinic",IF(M132&lt;=13,"R3 Revenue &amp; Messaging",IF(M132&lt;=18,"R4 Patient &amp; Platform",IF(M132&lt;=20,"R5 Harden","R6 Launch")))))</f>
        <v/>
      </c>
      <c r="O132" s="67">
        <f>L132*README!$B$32</f>
        <v/>
      </c>
      <c r="P132" s="62" t="inlineStr">
        <is>
          <t>NB-121, NB-010</t>
        </is>
      </c>
      <c r="Q132" s="62" t="inlineStr">
        <is>
          <t>Due and overdue derive from DOB and the regional schedule; content source is versioned</t>
        </is>
      </c>
      <c r="R132" s="62" t="inlineStr">
        <is>
          <t>Not started</t>
        </is>
      </c>
      <c r="S132" s="62" t="n"/>
    </row>
    <row r="133" ht="23.85" customHeight="1" s="51">
      <c r="A133" s="68" t="inlineStr">
        <is>
          <t>NB-132</t>
        </is>
      </c>
      <c r="B133" s="68" t="inlineStr">
        <is>
          <t>E12 Specialty Workspaces</t>
        </is>
      </c>
      <c r="C133" s="68" t="inlineStr">
        <is>
          <t>Specialty</t>
        </is>
      </c>
      <c r="D133" s="68" t="inlineStr">
        <is>
          <t>Paediatric growth tracking &amp; faltering alerts</t>
        </is>
      </c>
      <c r="E133" s="68" t="inlineStr">
        <is>
          <t>Growth charts plotted; faltering alerts triggered by a validated growth service, never calculated in the UI.</t>
        </is>
      </c>
      <c r="F133" s="68" t="inlineStr">
        <is>
          <t>PED-03,PED-04</t>
        </is>
      </c>
      <c r="G133" s="68" t="inlineStr">
        <is>
          <t>Doctor</t>
        </is>
      </c>
      <c r="H133" s="68" t="inlineStr">
        <is>
          <t>Clinic</t>
        </is>
      </c>
      <c r="I133" s="68" t="inlineStr">
        <is>
          <t>Fullstack</t>
        </is>
      </c>
      <c r="J133" s="69" t="inlineStr">
        <is>
          <t>Should</t>
        </is>
      </c>
      <c r="K133" s="69" t="inlineStr">
        <is>
          <t>Phase 2</t>
        </is>
      </c>
      <c r="L133" s="69" t="n">
        <v>8</v>
      </c>
      <c r="M133" s="69" t="n">
        <v>18</v>
      </c>
      <c r="N133" s="68">
        <f>IF(M133&lt;=4,"R1 Foundation",IF(M133&lt;=8,"R2 Core Clinic",IF(M133&lt;=13,"R3 Revenue &amp; Messaging",IF(M133&lt;=18,"R4 Patient &amp; Platform",IF(M133&lt;=20,"R5 Harden","R6 Launch")))))</f>
        <v/>
      </c>
      <c r="O133" s="70">
        <f>L133*README!$B$32</f>
        <v/>
      </c>
      <c r="P133" s="68" t="inlineStr">
        <is>
          <t>NB-121, NB-024</t>
        </is>
      </c>
      <c r="Q133" s="68" t="inlineStr">
        <is>
          <t>No growth percentile is computed client-side; the validated service is the only source</t>
        </is>
      </c>
      <c r="R133" s="68" t="inlineStr">
        <is>
          <t>Not started</t>
        </is>
      </c>
      <c r="S133" s="68" t="n"/>
    </row>
    <row r="134" ht="23.85" customHeight="1" s="51">
      <c r="A134" s="62" t="inlineStr">
        <is>
          <t>NB-133</t>
        </is>
      </c>
      <c r="B134" s="62" t="inlineStr">
        <is>
          <t>E12 Specialty Workspaces</t>
        </is>
      </c>
      <c r="C134" s="62" t="inlineStr">
        <is>
          <t>Specialty</t>
        </is>
      </c>
      <c r="D134" s="62" t="inlineStr">
        <is>
          <t>Paediatric parent reminders reconciled to one message</t>
        </is>
      </c>
      <c r="E134" s="62" t="inlineStr">
        <is>
          <t>Vaccine and appointment reminders reconcile into a single parent message, never two.</t>
        </is>
      </c>
      <c r="F134" s="62" t="inlineStr">
        <is>
          <t>PED-02</t>
        </is>
      </c>
      <c r="G134" s="62" t="inlineStr">
        <is>
          <t>Patient</t>
        </is>
      </c>
      <c r="H134" s="62" t="inlineStr">
        <is>
          <t>Patient</t>
        </is>
      </c>
      <c r="I134" s="62" t="inlineStr">
        <is>
          <t>Backend</t>
        </is>
      </c>
      <c r="J134" s="66" t="inlineStr">
        <is>
          <t>Must</t>
        </is>
      </c>
      <c r="K134" s="66" t="inlineStr">
        <is>
          <t>MVP</t>
        </is>
      </c>
      <c r="L134" s="66" t="n">
        <v>5</v>
      </c>
      <c r="M134" s="66" t="n">
        <v>16</v>
      </c>
      <c r="N134" s="62">
        <f>IF(M134&lt;=4,"R1 Foundation",IF(M134&lt;=8,"R2 Core Clinic",IF(M134&lt;=13,"R3 Revenue &amp; Messaging",IF(M134&lt;=18,"R4 Patient &amp; Platform",IF(M134&lt;=20,"R5 Harden","R6 Launch")))))</f>
        <v/>
      </c>
      <c r="O134" s="67">
        <f>L134*README!$B$32</f>
        <v/>
      </c>
      <c r="P134" s="62" t="inlineStr">
        <is>
          <t>NB-131, NB-203</t>
        </is>
      </c>
      <c r="Q134" s="62" t="inlineStr">
        <is>
          <t>Two due items on the same day produce exactly one message</t>
        </is>
      </c>
      <c r="R134" s="62" t="inlineStr">
        <is>
          <t>Not started</t>
        </is>
      </c>
      <c r="S134" s="62" t="n"/>
    </row>
    <row r="135" ht="15" customHeight="1" s="51">
      <c r="A135" s="68" t="inlineStr">
        <is>
          <t>NB-134</t>
        </is>
      </c>
      <c r="B135" s="68" t="inlineStr">
        <is>
          <t>E12 Specialty Workspaces</t>
        </is>
      </c>
      <c r="C135" s="68" t="inlineStr">
        <is>
          <t>Specialty</t>
        </is>
      </c>
      <c r="D135" s="68" t="inlineStr">
        <is>
          <t>Paediatric child-friendly profile view</t>
        </is>
      </c>
      <c r="E135" s="68" t="inlineStr">
        <is>
          <t>Friendly avatar only, carrying no clinical data.</t>
        </is>
      </c>
      <c r="F135" s="68" t="inlineStr">
        <is>
          <t>PED-07</t>
        </is>
      </c>
      <c r="G135" s="68" t="inlineStr">
        <is>
          <t>Patient</t>
        </is>
      </c>
      <c r="H135" s="68" t="inlineStr">
        <is>
          <t>Patient</t>
        </is>
      </c>
      <c r="I135" s="68" t="inlineStr">
        <is>
          <t>Frontend</t>
        </is>
      </c>
      <c r="J135" s="69" t="inlineStr">
        <is>
          <t>Could</t>
        </is>
      </c>
      <c r="K135" s="69" t="inlineStr">
        <is>
          <t>Phase 2</t>
        </is>
      </c>
      <c r="L135" s="69" t="n">
        <v>3</v>
      </c>
      <c r="M135" s="69" t="n">
        <v>19</v>
      </c>
      <c r="N135" s="68">
        <f>IF(M135&lt;=4,"R1 Foundation",IF(M135&lt;=8,"R2 Core Clinic",IF(M135&lt;=13,"R3 Revenue &amp; Messaging",IF(M135&lt;=18,"R4 Patient &amp; Platform",IF(M135&lt;=20,"R5 Harden","R6 Launch")))))</f>
        <v/>
      </c>
      <c r="O135" s="70">
        <f>L135*README!$B$32</f>
        <v/>
      </c>
      <c r="P135" s="68" t="inlineStr">
        <is>
          <t>NB-121</t>
        </is>
      </c>
      <c r="Q135" s="68" t="inlineStr">
        <is>
          <t>No clinical value is rendered in the child-facing view</t>
        </is>
      </c>
      <c r="R135" s="68" t="inlineStr">
        <is>
          <t>Not started</t>
        </is>
      </c>
      <c r="S135" s="68" t="n"/>
    </row>
    <row r="136" ht="23.85" customHeight="1" s="51">
      <c r="A136" s="62" t="inlineStr">
        <is>
          <t>NB-135</t>
        </is>
      </c>
      <c r="B136" s="62" t="inlineStr">
        <is>
          <t>E12 Specialty Workspaces</t>
        </is>
      </c>
      <c r="C136" s="62" t="inlineStr">
        <is>
          <t>Specialty</t>
        </is>
      </c>
      <c r="D136" s="62" t="inlineStr">
        <is>
          <t>Orthopaedics — X-ray attach, review flag &amp; fracture templates</t>
        </is>
      </c>
      <c r="E136" s="62" t="inlineStr">
        <is>
          <t>Imaging attached with a review flag plus fracture and injury note templates.</t>
        </is>
      </c>
      <c r="F136" s="62" t="inlineStr">
        <is>
          <t>ORTH-01,ORTH-02</t>
        </is>
      </c>
      <c r="G136" s="62" t="inlineStr">
        <is>
          <t>Doctor</t>
        </is>
      </c>
      <c r="H136" s="62" t="inlineStr">
        <is>
          <t>Clinic</t>
        </is>
      </c>
      <c r="I136" s="62" t="inlineStr">
        <is>
          <t>Fullstack</t>
        </is>
      </c>
      <c r="J136" s="66" t="inlineStr">
        <is>
          <t>Should</t>
        </is>
      </c>
      <c r="K136" s="66" t="inlineStr">
        <is>
          <t>MVP</t>
        </is>
      </c>
      <c r="L136" s="66" t="n">
        <v>8</v>
      </c>
      <c r="M136" s="66" t="n">
        <v>17</v>
      </c>
      <c r="N136" s="62">
        <f>IF(M136&lt;=4,"R1 Foundation",IF(M136&lt;=8,"R2 Core Clinic",IF(M136&lt;=13,"R3 Revenue &amp; Messaging",IF(M136&lt;=18,"R4 Patient &amp; Platform",IF(M136&lt;=20,"R5 Harden","R6 Launch")))))</f>
        <v/>
      </c>
      <c r="O136" s="67">
        <f>L136*README!$B$32</f>
        <v/>
      </c>
      <c r="P136" s="62" t="inlineStr">
        <is>
          <t>NB-121, NB-075</t>
        </is>
      </c>
      <c r="Q136" s="62" t="inlineStr">
        <is>
          <t>Unreviewed imaging stays flagged until a clinician clears it</t>
        </is>
      </c>
      <c r="R136" s="62" t="inlineStr">
        <is>
          <t>Not started</t>
        </is>
      </c>
      <c r="S136" s="62" t="n"/>
    </row>
    <row r="137" ht="23.85" customHeight="1" s="51">
      <c r="A137" s="68" t="inlineStr">
        <is>
          <t>NB-136</t>
        </is>
      </c>
      <c r="B137" s="68" t="inlineStr">
        <is>
          <t>E12 Specialty Workspaces</t>
        </is>
      </c>
      <c r="C137" s="68" t="inlineStr">
        <is>
          <t>Specialty</t>
        </is>
      </c>
      <c r="D137" s="68" t="inlineStr">
        <is>
          <t>Orthopaedics — physio session packages</t>
        </is>
      </c>
      <c r="E137" s="68" t="inlineStr">
        <is>
          <t>Physio delivered as tracked package sessions with automatic pre-session reminders.</t>
        </is>
      </c>
      <c r="F137" s="68" t="inlineStr">
        <is>
          <t>ORTH-03,PKG-12</t>
        </is>
      </c>
      <c r="G137" s="68" t="inlineStr">
        <is>
          <t>Doctor,Nurse</t>
        </is>
      </c>
      <c r="H137" s="68" t="inlineStr">
        <is>
          <t>Clinic</t>
        </is>
      </c>
      <c r="I137" s="68" t="inlineStr">
        <is>
          <t>Fullstack</t>
        </is>
      </c>
      <c r="J137" s="69" t="inlineStr">
        <is>
          <t>Should</t>
        </is>
      </c>
      <c r="K137" s="69" t="inlineStr">
        <is>
          <t>Phase 2</t>
        </is>
      </c>
      <c r="L137" s="69" t="n">
        <v>5</v>
      </c>
      <c r="M137" s="69" t="n">
        <v>18</v>
      </c>
      <c r="N137" s="68">
        <f>IF(M137&lt;=4,"R1 Foundation",IF(M137&lt;=8,"R2 Core Clinic",IF(M137&lt;=13,"R3 Revenue &amp; Messaging",IF(M137&lt;=18,"R4 Patient &amp; Platform",IF(M137&lt;=20,"R5 Harden","R6 Launch")))))</f>
        <v/>
      </c>
      <c r="O137" s="70">
        <f>L137*README!$B$32</f>
        <v/>
      </c>
      <c r="P137" s="68" t="inlineStr">
        <is>
          <t>NB-153</t>
        </is>
      </c>
      <c r="Q137" s="68" t="inlineStr">
        <is>
          <t>Each session auto-reminds the patient beforehand</t>
        </is>
      </c>
      <c r="R137" s="68" t="inlineStr">
        <is>
          <t>Not started</t>
        </is>
      </c>
      <c r="S137" s="68" t="n"/>
    </row>
    <row r="138" ht="15" customHeight="1" s="51">
      <c r="A138" s="62" t="inlineStr">
        <is>
          <t>NB-137</t>
        </is>
      </c>
      <c r="B138" s="62" t="inlineStr">
        <is>
          <t>E12 Specialty Workspaces</t>
        </is>
      </c>
      <c r="C138" s="62" t="inlineStr">
        <is>
          <t>Specialty</t>
        </is>
      </c>
      <c r="D138" s="62" t="inlineStr">
        <is>
          <t>Gynaecology — pregnancy tracker</t>
        </is>
      </c>
      <c r="E138" s="62" t="inlineStr">
        <is>
          <t>LMP to EDD timeline with visit scheduling along it.</t>
        </is>
      </c>
      <c r="F138" s="62" t="inlineStr">
        <is>
          <t>GYN-01</t>
        </is>
      </c>
      <c r="G138" s="62" t="inlineStr">
        <is>
          <t>Doctor</t>
        </is>
      </c>
      <c r="H138" s="62" t="inlineStr">
        <is>
          <t>Clinic</t>
        </is>
      </c>
      <c r="I138" s="62" t="inlineStr">
        <is>
          <t>Fullstack</t>
        </is>
      </c>
      <c r="J138" s="66" t="inlineStr">
        <is>
          <t>Should</t>
        </is>
      </c>
      <c r="K138" s="66" t="inlineStr">
        <is>
          <t>Phase 2</t>
        </is>
      </c>
      <c r="L138" s="66" t="n">
        <v>8</v>
      </c>
      <c r="M138" s="66" t="n">
        <v>18</v>
      </c>
      <c r="N138" s="62">
        <f>IF(M138&lt;=4,"R1 Foundation",IF(M138&lt;=8,"R2 Core Clinic",IF(M138&lt;=13,"R3 Revenue &amp; Messaging",IF(M138&lt;=18,"R4 Patient &amp; Platform",IF(M138&lt;=20,"R5 Harden","R6 Launch")))))</f>
        <v/>
      </c>
      <c r="O138" s="67">
        <f>L138*README!$B$32</f>
        <v/>
      </c>
      <c r="P138" s="62" t="inlineStr">
        <is>
          <t>NB-121</t>
        </is>
      </c>
      <c r="Q138" s="62" t="inlineStr">
        <is>
          <t>Timeline recalculates correctly when LMP is corrected</t>
        </is>
      </c>
      <c r="R138" s="62" t="inlineStr">
        <is>
          <t>Not started</t>
        </is>
      </c>
      <c r="S138" s="62" t="n"/>
    </row>
    <row r="139" ht="23.85" customHeight="1" s="51">
      <c r="A139" s="68" t="inlineStr">
        <is>
          <t>NB-138</t>
        </is>
      </c>
      <c r="B139" s="68" t="inlineStr">
        <is>
          <t>E12 Specialty Workspaces</t>
        </is>
      </c>
      <c r="C139" s="68" t="inlineStr">
        <is>
          <t>Specialty</t>
        </is>
      </c>
      <c r="D139" s="68" t="inlineStr">
        <is>
          <t>Gynaecology — ultrasound report attach &amp; review</t>
        </is>
      </c>
      <c r="E139" s="68" t="inlineStr">
        <is>
          <t>Report attachment with a review state.</t>
        </is>
      </c>
      <c r="F139" s="68" t="inlineStr">
        <is>
          <t>GYN-02</t>
        </is>
      </c>
      <c r="G139" s="68" t="inlineStr">
        <is>
          <t>Doctor</t>
        </is>
      </c>
      <c r="H139" s="68" t="inlineStr">
        <is>
          <t>Clinic</t>
        </is>
      </c>
      <c r="I139" s="68" t="inlineStr">
        <is>
          <t>Fullstack</t>
        </is>
      </c>
      <c r="J139" s="69" t="inlineStr">
        <is>
          <t>Should</t>
        </is>
      </c>
      <c r="K139" s="69" t="inlineStr">
        <is>
          <t>Phase 2</t>
        </is>
      </c>
      <c r="L139" s="69" t="n">
        <v>5</v>
      </c>
      <c r="M139" s="69" t="n">
        <v>18</v>
      </c>
      <c r="N139" s="68">
        <f>IF(M139&lt;=4,"R1 Foundation",IF(M139&lt;=8,"R2 Core Clinic",IF(M139&lt;=13,"R3 Revenue &amp; Messaging",IF(M139&lt;=18,"R4 Patient &amp; Platform",IF(M139&lt;=20,"R5 Harden","R6 Launch")))))</f>
        <v/>
      </c>
      <c r="O139" s="70">
        <f>L139*README!$B$32</f>
        <v/>
      </c>
      <c r="P139" s="68" t="inlineStr">
        <is>
          <t>NB-121, NB-075</t>
        </is>
      </c>
      <c r="Q139" s="68" t="inlineStr">
        <is>
          <t>Report attaches to the correct encounter with a review flag</t>
        </is>
      </c>
      <c r="R139" s="68" t="inlineStr">
        <is>
          <t>Not started</t>
        </is>
      </c>
      <c r="S139" s="68" t="n"/>
    </row>
    <row r="140" ht="23.85" customHeight="1" s="51">
      <c r="A140" s="62" t="inlineStr">
        <is>
          <t>NB-139</t>
        </is>
      </c>
      <c r="B140" s="62" t="inlineStr">
        <is>
          <t>E12 Specialty Workspaces</t>
        </is>
      </c>
      <c r="C140" s="62" t="inlineStr">
        <is>
          <t>Specialty</t>
        </is>
      </c>
      <c r="D140" s="62" t="inlineStr">
        <is>
          <t>ENT — endoscopy media, audiogram &amp; minor-procedure notes</t>
        </is>
      </c>
      <c r="E140" s="62" t="inlineStr">
        <is>
          <t>Endoscopy image/video attachment, audiogram entry and minor-procedure notes with consent.</t>
        </is>
      </c>
      <c r="F140" s="62" t="inlineStr">
        <is>
          <t>ENT-01,ENT-02,ENT-03</t>
        </is>
      </c>
      <c r="G140" s="62" t="inlineStr">
        <is>
          <t>Doctor</t>
        </is>
      </c>
      <c r="H140" s="62" t="inlineStr">
        <is>
          <t>Clinic</t>
        </is>
      </c>
      <c r="I140" s="62" t="inlineStr">
        <is>
          <t>Fullstack</t>
        </is>
      </c>
      <c r="J140" s="66" t="inlineStr">
        <is>
          <t>Could</t>
        </is>
      </c>
      <c r="K140" s="66" t="inlineStr">
        <is>
          <t>Phase 2</t>
        </is>
      </c>
      <c r="L140" s="66" t="n">
        <v>8</v>
      </c>
      <c r="M140" s="66" t="n">
        <v>19</v>
      </c>
      <c r="N140" s="62">
        <f>IF(M140&lt;=4,"R1 Foundation",IF(M140&lt;=8,"R2 Core Clinic",IF(M140&lt;=13,"R3 Revenue &amp; Messaging",IF(M140&lt;=18,"R4 Patient &amp; Platform",IF(M140&lt;=20,"R5 Harden","R6 Launch")))))</f>
        <v/>
      </c>
      <c r="O140" s="67">
        <f>L140*README!$B$32</f>
        <v/>
      </c>
      <c r="P140" s="62" t="inlineStr">
        <is>
          <t>NB-121, NB-075</t>
        </is>
      </c>
      <c r="Q140" s="62" t="inlineStr">
        <is>
          <t>Video attaches within the size policy; audiogram renders as a chart with a table view</t>
        </is>
      </c>
      <c r="R140" s="62" t="inlineStr">
        <is>
          <t>Not started</t>
        </is>
      </c>
      <c r="S140" s="62" t="n"/>
    </row>
    <row r="141" ht="23.85" customHeight="1" s="51">
      <c r="A141" s="68" t="inlineStr">
        <is>
          <t>NB-140</t>
        </is>
      </c>
      <c r="B141" s="68" t="inlineStr">
        <is>
          <t>E12 Specialty Workspaces</t>
        </is>
      </c>
      <c r="C141" s="68" t="inlineStr">
        <is>
          <t>Specialty</t>
        </is>
      </c>
      <c r="D141" s="68" t="inlineStr">
        <is>
          <t>Ayurveda — Panchakarma day strip &amp; herbal formulations</t>
        </is>
      </c>
      <c r="E141" s="68" t="inlineStr">
        <is>
          <t>Day-strip therapy plan (time axis, never mirrored) and herbal formulation prescribing.</t>
        </is>
      </c>
      <c r="F141" s="68" t="inlineStr">
        <is>
          <t>AYU-02,AYU-03</t>
        </is>
      </c>
      <c r="G141" s="68" t="inlineStr">
        <is>
          <t>Doctor</t>
        </is>
      </c>
      <c r="H141" s="68" t="inlineStr">
        <is>
          <t>Clinic</t>
        </is>
      </c>
      <c r="I141" s="68" t="inlineStr">
        <is>
          <t>Fullstack</t>
        </is>
      </c>
      <c r="J141" s="69" t="inlineStr">
        <is>
          <t>Could</t>
        </is>
      </c>
      <c r="K141" s="69" t="inlineStr">
        <is>
          <t>Phase 2</t>
        </is>
      </c>
      <c r="L141" s="69" t="n">
        <v>8</v>
      </c>
      <c r="M141" s="69" t="n">
        <v>20</v>
      </c>
      <c r="N141" s="68">
        <f>IF(M141&lt;=4,"R1 Foundation",IF(M141&lt;=8,"R2 Core Clinic",IF(M141&lt;=13,"R3 Revenue &amp; Messaging",IF(M141&lt;=18,"R4 Patient &amp; Platform",IF(M141&lt;=20,"R5 Harden","R6 Launch")))))</f>
        <v/>
      </c>
      <c r="O141" s="70">
        <f>L141*README!$B$32</f>
        <v/>
      </c>
      <c r="P141" s="68" t="inlineStr">
        <is>
          <t>NB-121, NB-109</t>
        </is>
      </c>
      <c r="Q141" s="68" t="inlineStr">
        <is>
          <t>Day strip does not mirror in Arabic; herbal formulations print correctly</t>
        </is>
      </c>
      <c r="R141" s="68" t="inlineStr">
        <is>
          <t>Not started</t>
        </is>
      </c>
      <c r="S141" s="68" t="n"/>
    </row>
    <row r="142" ht="15" customHeight="1" s="51">
      <c r="A142" s="62" t="inlineStr">
        <is>
          <t>NB-141</t>
        </is>
      </c>
      <c r="B142" s="62" t="inlineStr">
        <is>
          <t>E12 Specialty Workspaces</t>
        </is>
      </c>
      <c r="C142" s="62" t="inlineStr">
        <is>
          <t>Specialty</t>
        </is>
      </c>
      <c r="D142" s="62" t="inlineStr">
        <is>
          <t>Homeopathy — remedy &amp; potency prescribing</t>
        </is>
      </c>
      <c r="E142" s="62" t="inlineStr">
        <is>
          <t>Remedy with potency selection in the prescription pad.</t>
        </is>
      </c>
      <c r="F142" s="62" t="inlineStr">
        <is>
          <t>HOM-02</t>
        </is>
      </c>
      <c r="G142" s="62" t="inlineStr">
        <is>
          <t>Doctor</t>
        </is>
      </c>
      <c r="H142" s="62" t="inlineStr">
        <is>
          <t>Clinic</t>
        </is>
      </c>
      <c r="I142" s="62" t="inlineStr">
        <is>
          <t>Fullstack</t>
        </is>
      </c>
      <c r="J142" s="66" t="inlineStr">
        <is>
          <t>Could</t>
        </is>
      </c>
      <c r="K142" s="66" t="inlineStr">
        <is>
          <t>Phase 2</t>
        </is>
      </c>
      <c r="L142" s="66" t="n">
        <v>5</v>
      </c>
      <c r="M142" s="66" t="n">
        <v>20</v>
      </c>
      <c r="N142" s="62">
        <f>IF(M142&lt;=4,"R1 Foundation",IF(M142&lt;=8,"R2 Core Clinic",IF(M142&lt;=13,"R3 Revenue &amp; Messaging",IF(M142&lt;=18,"R4 Patient &amp; Platform",IF(M142&lt;=20,"R5 Harden","R6 Launch")))))</f>
        <v/>
      </c>
      <c r="O142" s="67">
        <f>L142*README!$B$32</f>
        <v/>
      </c>
      <c r="P142" s="62" t="inlineStr">
        <is>
          <t>NB-121, NB-109</t>
        </is>
      </c>
      <c r="Q142" s="62" t="inlineStr">
        <is>
          <t>Potency notation prints correctly and is searchable</t>
        </is>
      </c>
      <c r="R142" s="62" t="inlineStr">
        <is>
          <t>Not started</t>
        </is>
      </c>
      <c r="S142" s="62" t="n"/>
    </row>
    <row r="143" ht="23.85" customHeight="1" s="51">
      <c r="A143" s="68" t="inlineStr">
        <is>
          <t>NB-142</t>
        </is>
      </c>
      <c r="B143" s="68" t="inlineStr">
        <is>
          <t>E13 Nursing, Orders &amp; Triage</t>
        </is>
      </c>
      <c r="C143" s="68" t="inlineStr">
        <is>
          <t>Nursing</t>
        </is>
      </c>
      <c r="D143" s="68" t="inlineStr">
        <is>
          <t>Arrivals &amp; vitals worklist</t>
        </is>
      </c>
      <c r="E143" s="68" t="inlineStr">
        <is>
          <t>Nurse landing screen with the pending-vitals queue.</t>
        </is>
      </c>
      <c r="F143" s="68" t="n"/>
      <c r="G143" s="68" t="inlineStr">
        <is>
          <t>Nurse</t>
        </is>
      </c>
      <c r="H143" s="68" t="inlineStr">
        <is>
          <t>Clinic</t>
        </is>
      </c>
      <c r="I143" s="68" t="inlineStr">
        <is>
          <t>Frontend</t>
        </is>
      </c>
      <c r="J143" s="69" t="inlineStr">
        <is>
          <t>Must</t>
        </is>
      </c>
      <c r="K143" s="69" t="inlineStr">
        <is>
          <t>MVP</t>
        </is>
      </c>
      <c r="L143" s="69" t="n">
        <v>5</v>
      </c>
      <c r="M143" s="69" t="n">
        <v>10</v>
      </c>
      <c r="N143" s="68">
        <f>IF(M143&lt;=4,"R1 Foundation",IF(M143&lt;=8,"R2 Core Clinic",IF(M143&lt;=13,"R3 Revenue &amp; Messaging",IF(M143&lt;=18,"R4 Patient &amp; Platform",IF(M143&lt;=20,"R5 Harden","R6 Launch")))))</f>
        <v/>
      </c>
      <c r="O143" s="70">
        <f>L143*README!$B$32</f>
        <v/>
      </c>
      <c r="P143" s="68" t="inlineStr">
        <is>
          <t>NB-094, NB-106</t>
        </is>
      </c>
      <c r="Q143" s="68" t="inlineStr">
        <is>
          <t>Matches the wireframe and updates live with queue state</t>
        </is>
      </c>
      <c r="R143" s="68" t="inlineStr">
        <is>
          <t>Done</t>
        </is>
      </c>
      <c r="S143" s="68" t="n"/>
    </row>
    <row r="144" ht="23.85" customHeight="1" s="51">
      <c r="A144" s="62" t="inlineStr">
        <is>
          <t>NB-143</t>
        </is>
      </c>
      <c r="B144" s="62" t="inlineStr">
        <is>
          <t>E13 Nursing, Orders &amp; Triage</t>
        </is>
      </c>
      <c r="C144" s="62" t="inlineStr">
        <is>
          <t>Nursing</t>
        </is>
      </c>
      <c r="D144" s="62" t="inlineStr">
        <is>
          <t>Priority patients &amp; urgent triage</t>
        </is>
      </c>
      <c r="E144" s="62" t="inlineStr">
        <is>
          <t>Priority flagging with mandatory reason and critical-state styling.</t>
        </is>
      </c>
      <c r="F144" s="62" t="n"/>
      <c r="G144" s="62" t="inlineStr">
        <is>
          <t>Nurse</t>
        </is>
      </c>
      <c r="H144" s="62" t="inlineStr">
        <is>
          <t>Clinic</t>
        </is>
      </c>
      <c r="I144" s="62" t="inlineStr">
        <is>
          <t>Fullstack</t>
        </is>
      </c>
      <c r="J144" s="66" t="inlineStr">
        <is>
          <t>Must</t>
        </is>
      </c>
      <c r="K144" s="66" t="inlineStr">
        <is>
          <t>MVP</t>
        </is>
      </c>
      <c r="L144" s="66" t="n">
        <v>5</v>
      </c>
      <c r="M144" s="66" t="n">
        <v>11</v>
      </c>
      <c r="N144" s="62">
        <f>IF(M144&lt;=4,"R1 Foundation",IF(M144&lt;=8,"R2 Core Clinic",IF(M144&lt;=13,"R3 Revenue &amp; Messaging",IF(M144&lt;=18,"R4 Patient &amp; Platform",IF(M144&lt;=20,"R5 Harden","R6 Launch")))))</f>
        <v/>
      </c>
      <c r="O144" s="67">
        <f>L144*README!$B$32</f>
        <v/>
      </c>
      <c r="P144" s="62" t="inlineStr">
        <is>
          <t>NB-094, NB-011</t>
        </is>
      </c>
      <c r="Q144" s="62" t="inlineStr">
        <is>
          <t>Urgent flag reorders the queue and alerts the doctor</t>
        </is>
      </c>
      <c r="R144" s="62" t="inlineStr">
        <is>
          <t>Done</t>
        </is>
      </c>
      <c r="S144" s="62" t="n"/>
    </row>
    <row r="145" ht="23.85" customHeight="1" s="51">
      <c r="A145" s="68" t="inlineStr">
        <is>
          <t>NB-144</t>
        </is>
      </c>
      <c r="B145" s="68" t="inlineStr">
        <is>
          <t>E13 Nursing, Orders &amp; Triage</t>
        </is>
      </c>
      <c r="C145" s="68" t="inlineStr">
        <is>
          <t>Nursing</t>
        </is>
      </c>
      <c r="D145" s="68" t="inlineStr">
        <is>
          <t>Clinical triage inbox</t>
        </is>
      </c>
      <c r="E145" s="68" t="inlineStr">
        <is>
          <t>Nurse-facing triage of inbound patient messages, separate from the reception inbox.</t>
        </is>
      </c>
      <c r="F145" s="68" t="inlineStr">
        <is>
          <t>NUR-05,RCP-11</t>
        </is>
      </c>
      <c r="G145" s="68" t="inlineStr">
        <is>
          <t>Nurse</t>
        </is>
      </c>
      <c r="H145" s="68" t="inlineStr">
        <is>
          <t>Clinic</t>
        </is>
      </c>
      <c r="I145" s="68" t="inlineStr">
        <is>
          <t>Fullstack</t>
        </is>
      </c>
      <c r="J145" s="69" t="inlineStr">
        <is>
          <t>Must</t>
        </is>
      </c>
      <c r="K145" s="69" t="inlineStr">
        <is>
          <t>MVP</t>
        </is>
      </c>
      <c r="L145" s="69" t="n">
        <v>8</v>
      </c>
      <c r="M145" s="69" t="n">
        <v>14</v>
      </c>
      <c r="N145" s="68">
        <f>IF(M145&lt;=4,"R1 Foundation",IF(M145&lt;=8,"R2 Core Clinic",IF(M145&lt;=13,"R3 Revenue &amp; Messaging",IF(M145&lt;=18,"R4 Patient &amp; Platform",IF(M145&lt;=20,"R5 Harden","R6 Launch")))))</f>
        <v/>
      </c>
      <c r="O145" s="70">
        <f>L145*README!$B$32</f>
        <v/>
      </c>
      <c r="P145" s="68" t="inlineStr">
        <is>
          <t>NB-197</t>
        </is>
      </c>
      <c r="Q145" s="68" t="inlineStr">
        <is>
          <t>Clinical questions route to the nurse, not reception; escalation path is explicit</t>
        </is>
      </c>
      <c r="R145" s="68" t="inlineStr">
        <is>
          <t>Not started</t>
        </is>
      </c>
      <c r="S145" s="68" t="n"/>
    </row>
    <row r="146" ht="23.85" customHeight="1" s="51">
      <c r="A146" s="62" t="inlineStr">
        <is>
          <t>NB-145</t>
        </is>
      </c>
      <c r="B146" s="62" t="inlineStr">
        <is>
          <t>E13 Nursing, Orders &amp; Triage</t>
        </is>
      </c>
      <c r="C146" s="62" t="inlineStr">
        <is>
          <t>Nursing</t>
        </is>
      </c>
      <c r="D146" s="62" t="inlineStr">
        <is>
          <t>Administration orders &amp; medication administration record</t>
        </is>
      </c>
      <c r="E146" s="62" t="inlineStr">
        <is>
          <t>Injection and infusion orders with administer, witness and refuse-with-reason.</t>
        </is>
      </c>
      <c r="F146" s="62" t="n"/>
      <c r="G146" s="62" t="inlineStr">
        <is>
          <t>Nurse,Doctor</t>
        </is>
      </c>
      <c r="H146" s="62" t="inlineStr">
        <is>
          <t>Clinic</t>
        </is>
      </c>
      <c r="I146" s="62" t="inlineStr">
        <is>
          <t>Fullstack</t>
        </is>
      </c>
      <c r="J146" s="66" t="inlineStr">
        <is>
          <t>Must</t>
        </is>
      </c>
      <c r="K146" s="66" t="inlineStr">
        <is>
          <t>MVP</t>
        </is>
      </c>
      <c r="L146" s="66" t="n">
        <v>8</v>
      </c>
      <c r="M146" s="66" t="n">
        <v>13</v>
      </c>
      <c r="N146" s="62">
        <f>IF(M146&lt;=4,"R1 Foundation",IF(M146&lt;=8,"R2 Core Clinic",IF(M146&lt;=13,"R3 Revenue &amp; Messaging",IF(M146&lt;=18,"R4 Patient &amp; Platform",IF(M146&lt;=20,"R5 Harden","R6 Launch")))))</f>
        <v/>
      </c>
      <c r="O146" s="67">
        <f>L146*README!$B$32</f>
        <v/>
      </c>
      <c r="P146" s="62" t="inlineStr">
        <is>
          <t>NB-102, NB-109</t>
        </is>
      </c>
      <c r="Q146" s="62" t="inlineStr">
        <is>
          <t>Administration record immutable; five-rights checks enforced</t>
        </is>
      </c>
      <c r="R146" s="62" t="inlineStr">
        <is>
          <t>Done</t>
        </is>
      </c>
      <c r="S146" s="62" t="n"/>
    </row>
    <row r="147" ht="15" customHeight="1" s="51">
      <c r="A147" s="68" t="inlineStr">
        <is>
          <t>NB-146</t>
        </is>
      </c>
      <c r="B147" s="68" t="inlineStr">
        <is>
          <t>E13 Nursing, Orders &amp; Triage</t>
        </is>
      </c>
      <c r="C147" s="68" t="inlineStr">
        <is>
          <t>Nursing</t>
        </is>
      </c>
      <c r="D147" s="68" t="inlineStr">
        <is>
          <t>Today's procedures worklist</t>
        </is>
      </c>
      <c r="E147" s="68" t="inlineStr">
        <is>
          <t>Scheduled procedures, prep checklists and completion capture.</t>
        </is>
      </c>
      <c r="F147" s="68" t="n"/>
      <c r="G147" s="68" t="inlineStr">
        <is>
          <t>Nurse</t>
        </is>
      </c>
      <c r="H147" s="68" t="inlineStr">
        <is>
          <t>Clinic</t>
        </is>
      </c>
      <c r="I147" s="68" t="inlineStr">
        <is>
          <t>Fullstack</t>
        </is>
      </c>
      <c r="J147" s="69" t="inlineStr">
        <is>
          <t>Should</t>
        </is>
      </c>
      <c r="K147" s="69" t="inlineStr">
        <is>
          <t>MVP</t>
        </is>
      </c>
      <c r="L147" s="69" t="n">
        <v>5</v>
      </c>
      <c r="M147" s="69" t="n">
        <v>14</v>
      </c>
      <c r="N147" s="68">
        <f>IF(M147&lt;=4,"R1 Foundation",IF(M147&lt;=8,"R2 Core Clinic",IF(M147&lt;=13,"R3 Revenue &amp; Messaging",IF(M147&lt;=18,"R4 Patient &amp; Platform",IF(M147&lt;=20,"R5 Harden","R6 Launch")))))</f>
        <v/>
      </c>
      <c r="O147" s="70">
        <f>L147*README!$B$32</f>
        <v/>
      </c>
      <c r="P147" s="68" t="inlineStr">
        <is>
          <t>NB-094</t>
        </is>
      </c>
      <c r="Q147" s="68" t="inlineStr">
        <is>
          <t>Completion posts a billable event</t>
        </is>
      </c>
      <c r="R147" s="68" t="inlineStr">
        <is>
          <t>Done</t>
        </is>
      </c>
      <c r="S147" s="68" t="n"/>
    </row>
    <row r="148" ht="23.85" customHeight="1" s="51">
      <c r="A148" s="62" t="inlineStr">
        <is>
          <t>NB-147</t>
        </is>
      </c>
      <c r="B148" s="62" t="inlineStr">
        <is>
          <t>E13 Nursing, Orders &amp; Triage</t>
        </is>
      </c>
      <c r="C148" s="62" t="inlineStr">
        <is>
          <t>Nursing</t>
        </is>
      </c>
      <c r="D148" s="62" t="inlineStr">
        <is>
          <t>Package session administration by nurse</t>
        </is>
      </c>
      <c r="E148" s="62" t="inlineStr">
        <is>
          <t>The nurse marks a session delivered, decrementing sessions owed atomically.</t>
        </is>
      </c>
      <c r="F148" s="62" t="inlineStr">
        <is>
          <t>PKG-10</t>
        </is>
      </c>
      <c r="G148" s="62" t="inlineStr">
        <is>
          <t>Nurse</t>
        </is>
      </c>
      <c r="H148" s="62" t="inlineStr">
        <is>
          <t>Clinic</t>
        </is>
      </c>
      <c r="I148" s="62" t="inlineStr">
        <is>
          <t>Fullstack</t>
        </is>
      </c>
      <c r="J148" s="66" t="inlineStr">
        <is>
          <t>Must</t>
        </is>
      </c>
      <c r="K148" s="66" t="inlineStr">
        <is>
          <t>MVP</t>
        </is>
      </c>
      <c r="L148" s="66" t="n">
        <v>5</v>
      </c>
      <c r="M148" s="66" t="n">
        <v>14</v>
      </c>
      <c r="N148" s="62">
        <f>IF(M148&lt;=4,"R1 Foundation",IF(M148&lt;=8,"R2 Core Clinic",IF(M148&lt;=13,"R3 Revenue &amp; Messaging",IF(M148&lt;=18,"R4 Patient &amp; Platform",IF(M148&lt;=20,"R5 Harden","R6 Launch")))))</f>
        <v/>
      </c>
      <c r="O148" s="67">
        <f>L148*README!$B$32</f>
        <v/>
      </c>
      <c r="P148" s="62" t="inlineStr">
        <is>
          <t>NB-153</t>
        </is>
      </c>
      <c r="Q148" s="62" t="inlineStr">
        <is>
          <t>Decrement is atomic, auditable and cannot over-consume under concurrency</t>
        </is>
      </c>
      <c r="R148" s="62" t="inlineStr">
        <is>
          <t>Done</t>
        </is>
      </c>
      <c r="S148" s="62" t="n"/>
    </row>
    <row r="149" ht="15" customHeight="1" s="51">
      <c r="A149" s="68" t="inlineStr">
        <is>
          <t>NB-148</t>
        </is>
      </c>
      <c r="B149" s="68" t="inlineStr">
        <is>
          <t>E13 Nursing, Orders &amp; Triage</t>
        </is>
      </c>
      <c r="C149" s="68" t="inlineStr">
        <is>
          <t>Nursing</t>
        </is>
      </c>
      <c r="D149" s="68" t="inlineStr">
        <is>
          <t>Completed activity log</t>
        </is>
      </c>
      <c r="E149" s="68" t="inlineStr">
        <is>
          <t>The nurse's own read-only record of the day's completed work.</t>
        </is>
      </c>
      <c r="F149" s="68" t="n"/>
      <c r="G149" s="68" t="inlineStr">
        <is>
          <t>Nurse</t>
        </is>
      </c>
      <c r="H149" s="68" t="inlineStr">
        <is>
          <t>Clinic</t>
        </is>
      </c>
      <c r="I149" s="68" t="inlineStr">
        <is>
          <t>Frontend</t>
        </is>
      </c>
      <c r="J149" s="69" t="inlineStr">
        <is>
          <t>Should</t>
        </is>
      </c>
      <c r="K149" s="69" t="inlineStr">
        <is>
          <t>MVP</t>
        </is>
      </c>
      <c r="L149" s="69" t="n">
        <v>3</v>
      </c>
      <c r="M149" s="69" t="n">
        <v>15</v>
      </c>
      <c r="N149" s="68">
        <f>IF(M149&lt;=4,"R1 Foundation",IF(M149&lt;=8,"R2 Core Clinic",IF(M149&lt;=13,"R3 Revenue &amp; Messaging",IF(M149&lt;=18,"R4 Patient &amp; Platform",IF(M149&lt;=20,"R5 Harden","R6 Launch")))))</f>
        <v/>
      </c>
      <c r="O149" s="70">
        <f>L149*README!$B$32</f>
        <v/>
      </c>
      <c r="P149" s="68" t="inlineStr">
        <is>
          <t>NB-145</t>
        </is>
      </c>
      <c r="Q149" s="68" t="inlineStr">
        <is>
          <t>Read-only and exportable for shift handover</t>
        </is>
      </c>
      <c r="R149" s="68" t="inlineStr">
        <is>
          <t>Done</t>
        </is>
      </c>
      <c r="S149" s="68" t="n"/>
    </row>
    <row r="150" ht="23.85" customHeight="1" s="51">
      <c r="A150" s="62" t="inlineStr">
        <is>
          <t>NB-149</t>
        </is>
      </c>
      <c r="B150" s="62" t="inlineStr">
        <is>
          <t>E13 Nursing, Orders &amp; Triage</t>
        </is>
      </c>
      <c r="C150" s="62" t="inlineStr">
        <is>
          <t>Nursing</t>
        </is>
      </c>
      <c r="D150" s="62" t="inlineStr">
        <is>
          <t>Task handoff &amp; escalation SLA</t>
        </is>
      </c>
      <c r="E150" s="62" t="inlineStr">
        <is>
          <t>Doctor-to-nurse tasks with acknowledgement and escalation when overdue.</t>
        </is>
      </c>
      <c r="F150" s="62" t="n"/>
      <c r="G150" s="62" t="inlineStr">
        <is>
          <t>Nurse,Doctor</t>
        </is>
      </c>
      <c r="H150" s="62" t="inlineStr">
        <is>
          <t>Clinic</t>
        </is>
      </c>
      <c r="I150" s="62" t="inlineStr">
        <is>
          <t>Fullstack</t>
        </is>
      </c>
      <c r="J150" s="66" t="inlineStr">
        <is>
          <t>Should</t>
        </is>
      </c>
      <c r="K150" s="66" t="inlineStr">
        <is>
          <t>MVP</t>
        </is>
      </c>
      <c r="L150" s="66" t="n">
        <v>5</v>
      </c>
      <c r="M150" s="66" t="n">
        <v>15</v>
      </c>
      <c r="N150" s="62">
        <f>IF(M150&lt;=4,"R1 Foundation",IF(M150&lt;=8,"R2 Core Clinic",IF(M150&lt;=13,"R3 Revenue &amp; Messaging",IF(M150&lt;=18,"R4 Patient &amp; Platform",IF(M150&lt;=20,"R5 Harden","R6 Launch")))))</f>
        <v/>
      </c>
      <c r="O150" s="67">
        <f>L150*README!$B$32</f>
        <v/>
      </c>
      <c r="P150" s="62" t="inlineStr">
        <is>
          <t>NB-144</t>
        </is>
      </c>
      <c r="Q150" s="62" t="inlineStr">
        <is>
          <t>Unacknowledged critical task escalates within a configurable SLA</t>
        </is>
      </c>
      <c r="R150" s="62" t="inlineStr">
        <is>
          <t>Not started</t>
        </is>
      </c>
      <c r="S150" s="62" t="n"/>
    </row>
    <row r="151" ht="23.85" customHeight="1" s="51">
      <c r="A151" s="68" t="inlineStr">
        <is>
          <t>NB-150</t>
        </is>
      </c>
      <c r="B151" s="68" t="inlineStr">
        <is>
          <t>E14 Treatment Packages</t>
        </is>
      </c>
      <c r="C151" s="68" t="inlineStr">
        <is>
          <t>Packages</t>
        </is>
      </c>
      <c r="D151" s="68" t="inlineStr">
        <is>
          <t>Package definition builder (6-step)</t>
        </is>
      </c>
      <c r="E151" s="68" t="inlineStr">
        <is>
          <t>Basic information, included items, pricing and savings, validity and eligibility, payment and refunds, preview and activate.</t>
        </is>
      </c>
      <c r="F151" s="68" t="n"/>
      <c r="G151" s="68" t="inlineStr">
        <is>
          <t>Owner</t>
        </is>
      </c>
      <c r="H151" s="68" t="inlineStr">
        <is>
          <t>Clinic</t>
        </is>
      </c>
      <c r="I151" s="68" t="inlineStr">
        <is>
          <t>Fullstack</t>
        </is>
      </c>
      <c r="J151" s="69" t="inlineStr">
        <is>
          <t>Must</t>
        </is>
      </c>
      <c r="K151" s="69" t="inlineStr">
        <is>
          <t>MVP</t>
        </is>
      </c>
      <c r="L151" s="69" t="n">
        <v>13</v>
      </c>
      <c r="M151" s="69" t="n">
        <v>12</v>
      </c>
      <c r="N151" s="68">
        <f>IF(M151&lt;=4,"R1 Foundation",IF(M151&lt;=8,"R2 Core Clinic",IF(M151&lt;=13,"R3 Revenue &amp; Messaging",IF(M151&lt;=18,"R4 Patient &amp; Platform",IF(M151&lt;=20,"R5 Harden","R6 Launch")))))</f>
        <v/>
      </c>
      <c r="O151" s="70">
        <f>L151*README!$B$32</f>
        <v/>
      </c>
      <c r="P151" s="68" t="inlineStr">
        <is>
          <t>NB-061</t>
        </is>
      </c>
      <c r="Q151" s="68" t="inlineStr">
        <is>
          <t>Reproduces the wireframe package definitions end to end</t>
        </is>
      </c>
      <c r="R151" s="68" t="inlineStr">
        <is>
          <t>Done</t>
        </is>
      </c>
      <c r="S151" s="68" t="n"/>
    </row>
    <row r="152" ht="23.85" customHeight="1" s="51">
      <c r="A152" s="62" t="inlineStr">
        <is>
          <t>NB-151</t>
        </is>
      </c>
      <c r="B152" s="62" t="inlineStr">
        <is>
          <t>E14 Treatment Packages</t>
        </is>
      </c>
      <c r="C152" s="62" t="inlineStr">
        <is>
          <t>Packages</t>
        </is>
      </c>
      <c r="D152" s="62" t="inlineStr">
        <is>
          <t>Package catalogue &amp; lifecycle states</t>
        </is>
      </c>
      <c r="E152" s="62" t="inlineStr">
        <is>
          <t>Draft, on sale, paused, retired, with version history for already-sold packages.</t>
        </is>
      </c>
      <c r="F152" s="62" t="n"/>
      <c r="G152" s="62" t="inlineStr">
        <is>
          <t>Owner</t>
        </is>
      </c>
      <c r="H152" s="62" t="inlineStr">
        <is>
          <t>Clinic</t>
        </is>
      </c>
      <c r="I152" s="62" t="inlineStr">
        <is>
          <t>Backend</t>
        </is>
      </c>
      <c r="J152" s="66" t="inlineStr">
        <is>
          <t>Must</t>
        </is>
      </c>
      <c r="K152" s="66" t="inlineStr">
        <is>
          <t>MVP</t>
        </is>
      </c>
      <c r="L152" s="66" t="n">
        <v>5</v>
      </c>
      <c r="M152" s="66" t="n">
        <v>12</v>
      </c>
      <c r="N152" s="62">
        <f>IF(M152&lt;=4,"R1 Foundation",IF(M152&lt;=8,"R2 Core Clinic",IF(M152&lt;=13,"R3 Revenue &amp; Messaging",IF(M152&lt;=18,"R4 Patient &amp; Platform",IF(M152&lt;=20,"R5 Harden","R6 Launch")))))</f>
        <v/>
      </c>
      <c r="O152" s="67">
        <f>L152*README!$B$32</f>
        <v/>
      </c>
      <c r="P152" s="62" t="inlineStr">
        <is>
          <t>NB-150</t>
        </is>
      </c>
      <c r="Q152" s="62" t="inlineStr">
        <is>
          <t>Retiring a package does not affect sold instances</t>
        </is>
      </c>
      <c r="R152" s="62" t="inlineStr">
        <is>
          <t>Done</t>
        </is>
      </c>
      <c r="S152" s="62" t="n"/>
    </row>
    <row r="153" ht="23.85" customHeight="1" s="51">
      <c r="A153" s="68" t="inlineStr">
        <is>
          <t>NB-152</t>
        </is>
      </c>
      <c r="B153" s="68" t="inlineStr">
        <is>
          <t>E14 Treatment Packages</t>
        </is>
      </c>
      <c r="C153" s="68" t="inlineStr">
        <is>
          <t>Packages</t>
        </is>
      </c>
      <c r="D153" s="68" t="inlineStr">
        <is>
          <t>Package sale flow (6-step)</t>
        </is>
      </c>
      <c r="E153" s="68" t="inlineStr">
        <is>
          <t>Patient, package, eligibility, review, payment, invoice and card.</t>
        </is>
      </c>
      <c r="F153" s="68" t="n"/>
      <c r="G153" s="68" t="inlineStr">
        <is>
          <t>Reception</t>
        </is>
      </c>
      <c r="H153" s="68" t="inlineStr">
        <is>
          <t>Clinic</t>
        </is>
      </c>
      <c r="I153" s="68" t="inlineStr">
        <is>
          <t>Fullstack</t>
        </is>
      </c>
      <c r="J153" s="69" t="inlineStr">
        <is>
          <t>Must</t>
        </is>
      </c>
      <c r="K153" s="69" t="inlineStr">
        <is>
          <t>MVP</t>
        </is>
      </c>
      <c r="L153" s="69" t="n">
        <v>8</v>
      </c>
      <c r="M153" s="69" t="n">
        <v>13</v>
      </c>
      <c r="N153" s="68">
        <f>IF(M153&lt;=4,"R1 Foundation",IF(M153&lt;=8,"R2 Core Clinic",IF(M153&lt;=13,"R3 Revenue &amp; Messaging",IF(M153&lt;=18,"R4 Patient &amp; Platform",IF(M153&lt;=20,"R5 Harden","R6 Launch")))))</f>
        <v/>
      </c>
      <c r="O153" s="70">
        <f>L153*README!$B$32</f>
        <v/>
      </c>
      <c r="P153" s="68" t="inlineStr">
        <is>
          <t>NB-150, NB-162</t>
        </is>
      </c>
      <c r="Q153" s="68" t="inlineStr">
        <is>
          <t>Sale creates instance, invoice and correct tax lines for both regions</t>
        </is>
      </c>
      <c r="R153" s="68" t="inlineStr">
        <is>
          <t>Done</t>
        </is>
      </c>
      <c r="S153" s="68" t="n"/>
    </row>
    <row r="154" ht="23.85" customHeight="1" s="51">
      <c r="A154" s="62" t="inlineStr">
        <is>
          <t>NB-153</t>
        </is>
      </c>
      <c r="B154" s="62" t="inlineStr">
        <is>
          <t>E14 Treatment Packages</t>
        </is>
      </c>
      <c r="C154" s="62" t="inlineStr">
        <is>
          <t>Packages</t>
        </is>
      </c>
      <c r="D154" s="62" t="inlineStr">
        <is>
          <t>Package instance &amp; session ledger</t>
        </is>
      </c>
      <c r="E154" s="62" t="inlineStr">
        <is>
          <t>Sessions owed, consumed and expired, with validity window and grace period.</t>
        </is>
      </c>
      <c r="F154" s="62" t="inlineStr">
        <is>
          <t>PKG-12</t>
        </is>
      </c>
      <c r="G154" s="62" t="inlineStr">
        <is>
          <t>Reception,Nurse</t>
        </is>
      </c>
      <c r="H154" s="62" t="inlineStr">
        <is>
          <t>Clinic</t>
        </is>
      </c>
      <c r="I154" s="62" t="inlineStr">
        <is>
          <t>Backend</t>
        </is>
      </c>
      <c r="J154" s="66" t="inlineStr">
        <is>
          <t>Must</t>
        </is>
      </c>
      <c r="K154" s="66" t="inlineStr">
        <is>
          <t>MVP</t>
        </is>
      </c>
      <c r="L154" s="66" t="n">
        <v>8</v>
      </c>
      <c r="M154" s="66" t="n">
        <v>13</v>
      </c>
      <c r="N154" s="62">
        <f>IF(M154&lt;=4,"R1 Foundation",IF(M154&lt;=8,"R2 Core Clinic",IF(M154&lt;=13,"R3 Revenue &amp; Messaging",IF(M154&lt;=18,"R4 Patient &amp; Platform",IF(M154&lt;=20,"R5 Harden","R6 Launch")))))</f>
        <v/>
      </c>
      <c r="O154" s="67">
        <f>L154*README!$B$32</f>
        <v/>
      </c>
      <c r="P154" s="62" t="inlineStr">
        <is>
          <t>NB-152</t>
        </is>
      </c>
      <c r="Q154" s="62" t="inlineStr">
        <is>
          <t>Ledger reconciles; concurrent redemption cannot over-consume</t>
        </is>
      </c>
      <c r="R154" s="62" t="inlineStr">
        <is>
          <t>Done</t>
        </is>
      </c>
      <c r="S154" s="62" t="n"/>
    </row>
    <row r="155" ht="23.85" customHeight="1" s="51">
      <c r="A155" s="68" t="inlineStr">
        <is>
          <t>NB-154</t>
        </is>
      </c>
      <c r="B155" s="68" t="inlineStr">
        <is>
          <t>E14 Treatment Packages</t>
        </is>
      </c>
      <c r="C155" s="68" t="inlineStr">
        <is>
          <t>Packages</t>
        </is>
      </c>
      <c r="D155" s="68" t="inlineStr">
        <is>
          <t>Session redemption booking &amp; counter rules</t>
        </is>
      </c>
      <c r="E155" s="68" t="inlineStr">
        <is>
          <t>Booking leaves the count unchanged; it decrements only on completed attendance.</t>
        </is>
      </c>
      <c r="F155" s="68" t="inlineStr">
        <is>
          <t>PKG-10</t>
        </is>
      </c>
      <c r="G155" s="68" t="inlineStr">
        <is>
          <t>Nurse,Reception,Patient</t>
        </is>
      </c>
      <c r="H155" s="68" t="inlineStr">
        <is>
          <t>Clinic</t>
        </is>
      </c>
      <c r="I155" s="68" t="inlineStr">
        <is>
          <t>Fullstack</t>
        </is>
      </c>
      <c r="J155" s="69" t="inlineStr">
        <is>
          <t>Must</t>
        </is>
      </c>
      <c r="K155" s="69" t="inlineStr">
        <is>
          <t>MVP</t>
        </is>
      </c>
      <c r="L155" s="69" t="n">
        <v>5</v>
      </c>
      <c r="M155" s="69" t="n">
        <v>14</v>
      </c>
      <c r="N155" s="68">
        <f>IF(M155&lt;=4,"R1 Foundation",IF(M155&lt;=8,"R2 Core Clinic",IF(M155&lt;=13,"R3 Revenue &amp; Messaging",IF(M155&lt;=18,"R4 Patient &amp; Platform",IF(M155&lt;=20,"R5 Harden","R6 Launch")))))</f>
        <v/>
      </c>
      <c r="O155" s="70">
        <f>L155*README!$B$32</f>
        <v/>
      </c>
      <c r="P155" s="68" t="inlineStr">
        <is>
          <t>NB-153, NB-090</t>
        </is>
      </c>
      <c r="Q155" s="68" t="inlineStr">
        <is>
          <t>A booked-but-not-attended session does not decrement the counter</t>
        </is>
      </c>
      <c r="R155" s="68" t="inlineStr">
        <is>
          <t>Done</t>
        </is>
      </c>
      <c r="S155" s="68" t="n"/>
    </row>
    <row r="156" ht="23.85" customHeight="1" s="51">
      <c r="A156" s="62" t="inlineStr">
        <is>
          <t>NB-155</t>
        </is>
      </c>
      <c r="B156" s="62" t="inlineStr">
        <is>
          <t>E14 Treatment Packages</t>
        </is>
      </c>
      <c r="C156" s="62" t="inlineStr">
        <is>
          <t>Packages</t>
        </is>
      </c>
      <c r="D156" s="62" t="inlineStr">
        <is>
          <t>Doctor-restricted package eligibility</t>
        </is>
      </c>
      <c r="E156" s="62" t="inlineStr">
        <is>
          <t>A package restricted to a named doctor is affected when that doctor is blocked or on leave.</t>
        </is>
      </c>
      <c r="F156" s="62" t="inlineStr">
        <is>
          <t>PKG-02,DOC-03</t>
        </is>
      </c>
      <c r="G156" s="62" t="inlineStr">
        <is>
          <t>Reception</t>
        </is>
      </c>
      <c r="H156" s="62" t="inlineStr">
        <is>
          <t>Clinic</t>
        </is>
      </c>
      <c r="I156" s="62" t="inlineStr">
        <is>
          <t>Backend</t>
        </is>
      </c>
      <c r="J156" s="66" t="inlineStr">
        <is>
          <t>Must</t>
        </is>
      </c>
      <c r="K156" s="66" t="inlineStr">
        <is>
          <t>MVP</t>
        </is>
      </c>
      <c r="L156" s="66" t="n">
        <v>5</v>
      </c>
      <c r="M156" s="66" t="n">
        <v>14</v>
      </c>
      <c r="N156" s="62">
        <f>IF(M156&lt;=4,"R1 Foundation",IF(M156&lt;=8,"R2 Core Clinic",IF(M156&lt;=13,"R3 Revenue &amp; Messaging",IF(M156&lt;=18,"R4 Patient &amp; Platform",IF(M156&lt;=20,"R5 Harden","R6 Launch")))))</f>
        <v/>
      </c>
      <c r="O156" s="67">
        <f>L156*README!$B$32</f>
        <v/>
      </c>
      <c r="P156" s="62" t="inlineStr">
        <is>
          <t>NB-153, NB-091</t>
        </is>
      </c>
      <c r="Q156" s="62" t="inlineStr">
        <is>
          <t>Blocking a doctor warns about active packages restricted to them</t>
        </is>
      </c>
      <c r="R156" s="62" t="inlineStr">
        <is>
          <t>Done</t>
        </is>
      </c>
      <c r="S156" s="62" t="n"/>
    </row>
    <row r="157" ht="23.85" customHeight="1" s="51">
      <c r="A157" s="68" t="inlineStr">
        <is>
          <t>NB-156</t>
        </is>
      </c>
      <c r="B157" s="68" t="inlineStr">
        <is>
          <t>E14 Treatment Packages</t>
        </is>
      </c>
      <c r="C157" s="68" t="inlineStr">
        <is>
          <t>Packages</t>
        </is>
      </c>
      <c r="D157" s="68" t="inlineStr">
        <is>
          <t>Payment plans at sale &amp; instalment auto-collection</t>
        </is>
      </c>
      <c r="E157" s="68" t="inlineStr">
        <is>
          <t>Instalment schedules created at sale with automatic collection.</t>
        </is>
      </c>
      <c r="F157" s="68" t="inlineStr">
        <is>
          <t>PKG-06,PKG-07</t>
        </is>
      </c>
      <c r="G157" s="68" t="inlineStr">
        <is>
          <t>Reception,Owner</t>
        </is>
      </c>
      <c r="H157" s="68" t="inlineStr">
        <is>
          <t>Clinic</t>
        </is>
      </c>
      <c r="I157" s="68" t="inlineStr">
        <is>
          <t>Fullstack</t>
        </is>
      </c>
      <c r="J157" s="69" t="inlineStr">
        <is>
          <t>Should</t>
        </is>
      </c>
      <c r="K157" s="69" t="inlineStr">
        <is>
          <t>Phase 2</t>
        </is>
      </c>
      <c r="L157" s="69" t="n">
        <v>8</v>
      </c>
      <c r="M157" s="69" t="n">
        <v>17</v>
      </c>
      <c r="N157" s="68">
        <f>IF(M157&lt;=4,"R1 Foundation",IF(M157&lt;=8,"R2 Core Clinic",IF(M157&lt;=13,"R3 Revenue &amp; Messaging",IF(M157&lt;=18,"R4 Patient &amp; Platform",IF(M157&lt;=20,"R5 Harden","R6 Launch")))))</f>
        <v/>
      </c>
      <c r="O157" s="70">
        <f>L157*README!$B$32</f>
        <v/>
      </c>
      <c r="P157" s="68" t="inlineStr">
        <is>
          <t>NB-152, NB-168</t>
        </is>
      </c>
      <c r="Q157" s="68" t="inlineStr">
        <is>
          <t>Failed instalment retries on a defined ladder and never double-charges</t>
        </is>
      </c>
      <c r="R157" s="68" t="inlineStr">
        <is>
          <t>Not started</t>
        </is>
      </c>
      <c r="S157" s="68" t="n"/>
    </row>
    <row r="158" ht="23.85" customHeight="1" s="51">
      <c r="A158" s="62" t="inlineStr">
        <is>
          <t>NB-157</t>
        </is>
      </c>
      <c r="B158" s="62" t="inlineStr">
        <is>
          <t>E14 Treatment Packages</t>
        </is>
      </c>
      <c r="C158" s="62" t="inlineStr">
        <is>
          <t>Packages</t>
        </is>
      </c>
      <c r="D158" s="62" t="inlineStr">
        <is>
          <t>Expiry ladder, grace period &amp; extension</t>
        </is>
      </c>
      <c r="E158" s="62" t="inlineStr">
        <is>
          <t>30/14/7-day warnings, grace handling and owner-approved extensions.</t>
        </is>
      </c>
      <c r="F158" s="62" t="inlineStr">
        <is>
          <t>PKG-13</t>
        </is>
      </c>
      <c r="G158" s="62" t="inlineStr">
        <is>
          <t>Owner,Patient</t>
        </is>
      </c>
      <c r="H158" s="62" t="inlineStr">
        <is>
          <t>Clinic</t>
        </is>
      </c>
      <c r="I158" s="62" t="inlineStr">
        <is>
          <t>Fullstack</t>
        </is>
      </c>
      <c r="J158" s="66" t="inlineStr">
        <is>
          <t>Must</t>
        </is>
      </c>
      <c r="K158" s="66" t="inlineStr">
        <is>
          <t>MVP</t>
        </is>
      </c>
      <c r="L158" s="66" t="n">
        <v>5</v>
      </c>
      <c r="M158" s="66" t="n">
        <v>15</v>
      </c>
      <c r="N158" s="62">
        <f>IF(M158&lt;=4,"R1 Foundation",IF(M158&lt;=8,"R2 Core Clinic",IF(M158&lt;=13,"R3 Revenue &amp; Messaging",IF(M158&lt;=18,"R4 Patient &amp; Platform",IF(M158&lt;=20,"R5 Harden","R6 Launch")))))</f>
        <v/>
      </c>
      <c r="O158" s="67">
        <f>L158*README!$B$32</f>
        <v/>
      </c>
      <c r="P158" s="62" t="inlineStr">
        <is>
          <t>NB-153, NB-308</t>
        </is>
      </c>
      <c r="Q158" s="62" t="inlineStr">
        <is>
          <t>Expiry job idempotent; extension requires approval and is audited</t>
        </is>
      </c>
      <c r="R158" s="62" t="inlineStr">
        <is>
          <t>Done</t>
        </is>
      </c>
      <c r="S158" s="62" t="n"/>
    </row>
    <row r="159" ht="23.85" customHeight="1" s="51">
      <c r="A159" s="68" t="inlineStr">
        <is>
          <t>NB-158</t>
        </is>
      </c>
      <c r="B159" s="68" t="inlineStr">
        <is>
          <t>E14 Treatment Packages</t>
        </is>
      </c>
      <c r="C159" s="68" t="inlineStr">
        <is>
          <t>Packages</t>
        </is>
      </c>
      <c r="D159" s="68" t="inlineStr">
        <is>
          <t>Progress view &amp; next-session nudges</t>
        </is>
      </c>
      <c r="E159" s="68" t="inlineStr">
        <is>
          <t>Patient-visible progress with automatic pre-session reminders.</t>
        </is>
      </c>
      <c r="F159" s="68" t="inlineStr">
        <is>
          <t>PKG-12</t>
        </is>
      </c>
      <c r="G159" s="68" t="inlineStr">
        <is>
          <t>Patient,Reception</t>
        </is>
      </c>
      <c r="H159" s="68" t="inlineStr">
        <is>
          <t>Patient</t>
        </is>
      </c>
      <c r="I159" s="68" t="inlineStr">
        <is>
          <t>Fullstack</t>
        </is>
      </c>
      <c r="J159" s="69" t="inlineStr">
        <is>
          <t>Must</t>
        </is>
      </c>
      <c r="K159" s="69" t="inlineStr">
        <is>
          <t>MVP</t>
        </is>
      </c>
      <c r="L159" s="69" t="n">
        <v>5</v>
      </c>
      <c r="M159" s="69" t="n">
        <v>15</v>
      </c>
      <c r="N159" s="68">
        <f>IF(M159&lt;=4,"R1 Foundation",IF(M159&lt;=8,"R2 Core Clinic",IF(M159&lt;=13,"R3 Revenue &amp; Messaging",IF(M159&lt;=18,"R4 Patient &amp; Platform",IF(M159&lt;=20,"R5 Harden","R6 Launch")))))</f>
        <v/>
      </c>
      <c r="O159" s="70">
        <f>L159*README!$B$32</f>
        <v/>
      </c>
      <c r="P159" s="68" t="inlineStr">
        <is>
          <t>NB-153, NB-197</t>
        </is>
      </c>
      <c r="Q159" s="68" t="inlineStr">
        <is>
          <t>Progress and next session are visible in the patient channel</t>
        </is>
      </c>
      <c r="R159" s="68" t="inlineStr">
        <is>
          <t>Done</t>
        </is>
      </c>
      <c r="S159" s="68" t="n"/>
    </row>
    <row r="160" ht="15" customHeight="1" s="51">
      <c r="A160" s="62" t="inlineStr">
        <is>
          <t>NB-159</t>
        </is>
      </c>
      <c r="B160" s="62" t="inlineStr">
        <is>
          <t>E14 Treatment Packages</t>
        </is>
      </c>
      <c r="C160" s="62" t="inlineStr">
        <is>
          <t>Packages</t>
        </is>
      </c>
      <c r="D160" s="62" t="inlineStr">
        <is>
          <t>Transfer &amp; gifting of remaining sessions</t>
        </is>
      </c>
      <c r="E160" s="62" t="inlineStr">
        <is>
          <t>One transfer maximum, with the receiving party's consent.</t>
        </is>
      </c>
      <c r="F160" s="62" t="inlineStr">
        <is>
          <t>PKG-16</t>
        </is>
      </c>
      <c r="G160" s="62" t="inlineStr">
        <is>
          <t>Reception,Patient</t>
        </is>
      </c>
      <c r="H160" s="62" t="inlineStr">
        <is>
          <t>Clinic</t>
        </is>
      </c>
      <c r="I160" s="62" t="inlineStr">
        <is>
          <t>Fullstack</t>
        </is>
      </c>
      <c r="J160" s="66" t="inlineStr">
        <is>
          <t>Could</t>
        </is>
      </c>
      <c r="K160" s="66" t="inlineStr">
        <is>
          <t>Phase 2</t>
        </is>
      </c>
      <c r="L160" s="66" t="n">
        <v>5</v>
      </c>
      <c r="M160" s="66" t="n">
        <v>18</v>
      </c>
      <c r="N160" s="62">
        <f>IF(M160&lt;=4,"R1 Foundation",IF(M160&lt;=8,"R2 Core Clinic",IF(M160&lt;=13,"R3 Revenue &amp; Messaging",IF(M160&lt;=18,"R4 Patient &amp; Platform",IF(M160&lt;=20,"R5 Harden","R6 Launch")))))</f>
        <v/>
      </c>
      <c r="O160" s="67">
        <f>L160*README!$B$32</f>
        <v/>
      </c>
      <c r="P160" s="62" t="inlineStr">
        <is>
          <t>NB-153</t>
        </is>
      </c>
      <c r="Q160" s="62" t="inlineStr">
        <is>
          <t>A second transfer of the same instance is refused</t>
        </is>
      </c>
      <c r="R160" s="62" t="inlineStr">
        <is>
          <t>Not started</t>
        </is>
      </c>
      <c r="S160" s="62" t="n"/>
    </row>
    <row r="161" ht="23.85" customHeight="1" s="51">
      <c r="A161" s="68" t="inlineStr">
        <is>
          <t>NB-160</t>
        </is>
      </c>
      <c r="B161" s="68" t="inlineStr">
        <is>
          <t>E14 Treatment Packages</t>
        </is>
      </c>
      <c r="C161" s="68" t="inlineStr">
        <is>
          <t>Packages</t>
        </is>
      </c>
      <c r="D161" s="68" t="inlineStr">
        <is>
          <t>Package refunds &amp; pro-rata calculation</t>
        </is>
      </c>
      <c r="E161" s="68" t="inlineStr">
        <is>
          <t>Refund on unconsumed sessions with correct tax reversal.</t>
        </is>
      </c>
      <c r="F161" s="68" t="n"/>
      <c r="G161" s="68" t="inlineStr">
        <is>
          <t>Owner</t>
        </is>
      </c>
      <c r="H161" s="68" t="inlineStr">
        <is>
          <t>Clinic</t>
        </is>
      </c>
      <c r="I161" s="68" t="inlineStr">
        <is>
          <t>Fullstack</t>
        </is>
      </c>
      <c r="J161" s="69" t="inlineStr">
        <is>
          <t>Must</t>
        </is>
      </c>
      <c r="K161" s="69" t="inlineStr">
        <is>
          <t>MVP</t>
        </is>
      </c>
      <c r="L161" s="69" t="n">
        <v>8</v>
      </c>
      <c r="M161" s="69" t="n">
        <v>15</v>
      </c>
      <c r="N161" s="68">
        <f>IF(M161&lt;=4,"R1 Foundation",IF(M161&lt;=8,"R2 Core Clinic",IF(M161&lt;=13,"R3 Revenue &amp; Messaging",IF(M161&lt;=18,"R4 Patient &amp; Platform",IF(M161&lt;=20,"R5 Harden","R6 Launch")))))</f>
        <v/>
      </c>
      <c r="O161" s="70">
        <f>L161*README!$B$32</f>
        <v/>
      </c>
      <c r="P161" s="68" t="inlineStr">
        <is>
          <t>NB-153, NB-166</t>
        </is>
      </c>
      <c r="Q161" s="68" t="inlineStr">
        <is>
          <t>Refund and tax reversal verified against finance test cases</t>
        </is>
      </c>
      <c r="R161" s="68" t="inlineStr">
        <is>
          <t>Done</t>
        </is>
      </c>
      <c r="S161" s="68" t="n"/>
    </row>
    <row r="162" ht="23.85" customHeight="1" s="51">
      <c r="A162" s="62" t="inlineStr">
        <is>
          <t>NB-161</t>
        </is>
      </c>
      <c r="B162" s="62" t="inlineStr">
        <is>
          <t>E14 Treatment Packages</t>
        </is>
      </c>
      <c r="C162" s="62" t="inlineStr">
        <is>
          <t>Packages</t>
        </is>
      </c>
      <c r="D162" s="62" t="inlineStr">
        <is>
          <t>Package liability &amp; revenue recognition</t>
        </is>
      </c>
      <c r="E162" s="62" t="inlineStr">
        <is>
          <t>Sales, redemption, deferred versus recognised revenue and outstanding liability.</t>
        </is>
      </c>
      <c r="F162" s="62" t="inlineStr">
        <is>
          <t>PKG-17,PKG-18,OWN-08</t>
        </is>
      </c>
      <c r="G162" s="62" t="inlineStr">
        <is>
          <t>Owner</t>
        </is>
      </c>
      <c r="H162" s="62" t="inlineStr">
        <is>
          <t>Clinic</t>
        </is>
      </c>
      <c r="I162" s="62" t="inlineStr">
        <is>
          <t>Fullstack</t>
        </is>
      </c>
      <c r="J162" s="66" t="inlineStr">
        <is>
          <t>Must</t>
        </is>
      </c>
      <c r="K162" s="66" t="inlineStr">
        <is>
          <t>MVP</t>
        </is>
      </c>
      <c r="L162" s="66" t="n">
        <v>8</v>
      </c>
      <c r="M162" s="66" t="n">
        <v>16</v>
      </c>
      <c r="N162" s="62">
        <f>IF(M162&lt;=4,"R1 Foundation",IF(M162&lt;=8,"R2 Core Clinic",IF(M162&lt;=13,"R3 Revenue &amp; Messaging",IF(M162&lt;=18,"R4 Patient &amp; Platform",IF(M162&lt;=20,"R5 Harden","R6 Launch")))))</f>
        <v/>
      </c>
      <c r="O162" s="67">
        <f>L162*README!$B$32</f>
        <v/>
      </c>
      <c r="P162" s="62" t="inlineStr">
        <is>
          <t>NB-153, NB-228</t>
        </is>
      </c>
      <c r="Q162" s="62" t="inlineStr">
        <is>
          <t>Liability ties to the billing ledger to the paisa/halala</t>
        </is>
      </c>
      <c r="R162" s="62" t="inlineStr">
        <is>
          <t>Done</t>
        </is>
      </c>
      <c r="S162" s="62" t="n"/>
    </row>
    <row r="163" ht="23.85" customHeight="1" s="51">
      <c r="A163" s="68" t="inlineStr">
        <is>
          <t>NB-162</t>
        </is>
      </c>
      <c r="B163" s="68" t="inlineStr">
        <is>
          <t>E15 Billing, Tax &amp; Payments</t>
        </is>
      </c>
      <c r="C163" s="68" t="inlineStr">
        <is>
          <t>Billing</t>
        </is>
      </c>
      <c r="D163" s="68" t="inlineStr">
        <is>
          <t>Checkout &amp; invoice generation</t>
        </is>
      </c>
      <c r="E163" s="68" t="inlineStr">
        <is>
          <t>Line items, quantity, discounts, per-line tax and totals.</t>
        </is>
      </c>
      <c r="F163" s="68" t="n"/>
      <c r="G163" s="68" t="inlineStr">
        <is>
          <t>Reception</t>
        </is>
      </c>
      <c r="H163" s="68" t="inlineStr">
        <is>
          <t>Clinic</t>
        </is>
      </c>
      <c r="I163" s="68" t="inlineStr">
        <is>
          <t>Fullstack</t>
        </is>
      </c>
      <c r="J163" s="69" t="inlineStr">
        <is>
          <t>Must</t>
        </is>
      </c>
      <c r="K163" s="69" t="inlineStr">
        <is>
          <t>MVP</t>
        </is>
      </c>
      <c r="L163" s="69" t="n">
        <v>13</v>
      </c>
      <c r="M163" s="69" t="n">
        <v>10</v>
      </c>
      <c r="N163" s="68">
        <f>IF(M163&lt;=4,"R1 Foundation",IF(M163&lt;=8,"R2 Core Clinic",IF(M163&lt;=13,"R3 Revenue &amp; Messaging",IF(M163&lt;=18,"R4 Patient &amp; Platform",IF(M163&lt;=20,"R5 Harden","R6 Launch")))))</f>
        <v/>
      </c>
      <c r="O163" s="70">
        <f>L163*README!$B$32</f>
        <v/>
      </c>
      <c r="P163" s="68" t="inlineStr">
        <is>
          <t>NB-061, NB-094</t>
        </is>
      </c>
      <c r="Q163" s="68" t="inlineStr">
        <is>
          <t>Invoice totals match the wireframe calculations exactly</t>
        </is>
      </c>
      <c r="R163" s="68" t="inlineStr">
        <is>
          <t>Done</t>
        </is>
      </c>
      <c r="S163" s="68" t="n"/>
    </row>
    <row r="164" ht="23.85" customHeight="1" s="51">
      <c r="A164" s="62" t="inlineStr">
        <is>
          <t>NB-163</t>
        </is>
      </c>
      <c r="B164" s="62" t="inlineStr">
        <is>
          <t>E15 Billing, Tax &amp; Payments</t>
        </is>
      </c>
      <c r="C164" s="62" t="inlineStr">
        <is>
          <t>Billing</t>
        </is>
      </c>
      <c r="D164" s="62" t="inlineStr">
        <is>
          <t>India GST engine</t>
        </is>
      </c>
      <c r="E164" s="62" t="inlineStr">
        <is>
          <t>CGST/SGST/IGST split, HSN/SAC codes, exempt clinical services and GST invoice format.</t>
        </is>
      </c>
      <c r="F164" s="62" t="inlineStr">
        <is>
          <t>SYS-09</t>
        </is>
      </c>
      <c r="G164" s="62" t="inlineStr">
        <is>
          <t>Reception,Owner</t>
        </is>
      </c>
      <c r="H164" s="62" t="inlineStr">
        <is>
          <t>Clinic</t>
        </is>
      </c>
      <c r="I164" s="62" t="inlineStr">
        <is>
          <t>Backend</t>
        </is>
      </c>
      <c r="J164" s="66" t="inlineStr">
        <is>
          <t>Must</t>
        </is>
      </c>
      <c r="K164" s="66" t="inlineStr">
        <is>
          <t>MVP</t>
        </is>
      </c>
      <c r="L164" s="66" t="n">
        <v>8</v>
      </c>
      <c r="M164" s="66" t="n">
        <v>11</v>
      </c>
      <c r="N164" s="62">
        <f>IF(M164&lt;=4,"R1 Foundation",IF(M164&lt;=8,"R2 Core Clinic",IF(M164&lt;=13,"R3 Revenue &amp; Messaging",IF(M164&lt;=18,"R4 Patient &amp; Platform",IF(M164&lt;=20,"R5 Harden","R6 Launch")))))</f>
        <v/>
      </c>
      <c r="O164" s="67">
        <f>L164*README!$B$32</f>
        <v/>
      </c>
      <c r="P164" s="62" t="inlineStr">
        <is>
          <t>NB-162</t>
        </is>
      </c>
      <c r="Q164" s="62" t="inlineStr">
        <is>
          <t>Validated against sample GST returns by a tax reviewer</t>
        </is>
      </c>
      <c r="R164" s="62" t="inlineStr">
        <is>
          <t>Not started</t>
        </is>
      </c>
      <c r="S164" s="62" t="n"/>
    </row>
    <row r="165" ht="23.85" customHeight="1" s="51">
      <c r="A165" s="68" t="inlineStr">
        <is>
          <t>NB-164</t>
        </is>
      </c>
      <c r="B165" s="68" t="inlineStr">
        <is>
          <t>E15 Billing, Tax &amp; Payments</t>
        </is>
      </c>
      <c r="C165" s="68" t="inlineStr">
        <is>
          <t>Billing</t>
        </is>
      </c>
      <c r="D165" s="68" t="inlineStr">
        <is>
          <t>Saudi VAT &amp; ZATCA e-invoicing</t>
        </is>
      </c>
      <c r="E165" s="68" t="inlineStr">
        <is>
          <t>15% VAT, zero-rated cases, QR code, XML invoice and Phase-2 clearance integration.</t>
        </is>
      </c>
      <c r="F165" s="68" t="inlineStr">
        <is>
          <t>SYS-09</t>
        </is>
      </c>
      <c r="G165" s="68" t="inlineStr">
        <is>
          <t>Reception,Owner</t>
        </is>
      </c>
      <c r="H165" s="68" t="inlineStr">
        <is>
          <t>Clinic</t>
        </is>
      </c>
      <c r="I165" s="68" t="inlineStr">
        <is>
          <t>Backend</t>
        </is>
      </c>
      <c r="J165" s="69" t="inlineStr">
        <is>
          <t>Must</t>
        </is>
      </c>
      <c r="K165" s="69" t="inlineStr">
        <is>
          <t>MVP</t>
        </is>
      </c>
      <c r="L165" s="69" t="n">
        <v>13</v>
      </c>
      <c r="M165" s="69" t="n">
        <v>12</v>
      </c>
      <c r="N165" s="68">
        <f>IF(M165&lt;=4,"R1 Foundation",IF(M165&lt;=8,"R2 Core Clinic",IF(M165&lt;=13,"R3 Revenue &amp; Messaging",IF(M165&lt;=18,"R4 Patient &amp; Platform",IF(M165&lt;=20,"R5 Harden","R6 Launch")))))</f>
        <v/>
      </c>
      <c r="O165" s="70">
        <f>L165*README!$B$32</f>
        <v/>
      </c>
      <c r="P165" s="68" t="inlineStr">
        <is>
          <t>NB-162</t>
        </is>
      </c>
      <c r="Q165" s="68" t="inlineStr">
        <is>
          <t>Passes the ZATCA compliance validator in sandbox</t>
        </is>
      </c>
      <c r="R165" s="68" t="inlineStr">
        <is>
          <t>Not started</t>
        </is>
      </c>
      <c r="S165" s="68" t="n"/>
    </row>
    <row r="166" ht="23.85" customHeight="1" s="51">
      <c r="A166" s="62" t="inlineStr">
        <is>
          <t>NB-165</t>
        </is>
      </c>
      <c r="B166" s="62" t="inlineStr">
        <is>
          <t>E15 Billing, Tax &amp; Payments</t>
        </is>
      </c>
      <c r="C166" s="62" t="inlineStr">
        <is>
          <t>Billing</t>
        </is>
      </c>
      <c r="D166" s="62" t="inlineStr">
        <is>
          <t>Discounts, write-offs &amp; approval thresholds</t>
        </is>
      </c>
      <c r="E166" s="62" t="inlineStr">
        <is>
          <t>Permission-gated, with maker-checker above a configurable limit.</t>
        </is>
      </c>
      <c r="F166" s="62" t="inlineStr">
        <is>
          <t>SYS-06</t>
        </is>
      </c>
      <c r="G166" s="62" t="inlineStr">
        <is>
          <t>Reception,Owner</t>
        </is>
      </c>
      <c r="H166" s="62" t="inlineStr">
        <is>
          <t>Clinic</t>
        </is>
      </c>
      <c r="I166" s="62" t="inlineStr">
        <is>
          <t>Fullstack</t>
        </is>
      </c>
      <c r="J166" s="66" t="inlineStr">
        <is>
          <t>Must</t>
        </is>
      </c>
      <c r="K166" s="66" t="inlineStr">
        <is>
          <t>MVP</t>
        </is>
      </c>
      <c r="L166" s="66" t="n">
        <v>5</v>
      </c>
      <c r="M166" s="66" t="n">
        <v>12</v>
      </c>
      <c r="N166" s="62">
        <f>IF(M166&lt;=4,"R1 Foundation",IF(M166&lt;=8,"R2 Core Clinic",IF(M166&lt;=13,"R3 Revenue &amp; Messaging",IF(M166&lt;=18,"R4 Patient &amp; Platform",IF(M166&lt;=20,"R5 Harden","R6 Launch")))))</f>
        <v/>
      </c>
      <c r="O166" s="67">
        <f>L166*README!$B$32</f>
        <v/>
      </c>
      <c r="P166" s="62" t="inlineStr">
        <is>
          <t>NB-162, NB-056</t>
        </is>
      </c>
      <c r="Q166" s="62" t="inlineStr">
        <is>
          <t>Staff without discount rights cannot apply one via the API either</t>
        </is>
      </c>
      <c r="R166" s="62" t="inlineStr">
        <is>
          <t>Not started</t>
        </is>
      </c>
      <c r="S166" s="62" t="n"/>
    </row>
    <row r="167" ht="15" customHeight="1" s="51">
      <c r="A167" s="68" t="inlineStr">
        <is>
          <t>NB-166</t>
        </is>
      </c>
      <c r="B167" s="68" t="inlineStr">
        <is>
          <t>E15 Billing, Tax &amp; Payments</t>
        </is>
      </c>
      <c r="C167" s="68" t="inlineStr">
        <is>
          <t>Billing</t>
        </is>
      </c>
      <c r="D167" s="68" t="inlineStr">
        <is>
          <t>Refunds, credit notes &amp; cancellations</t>
        </is>
      </c>
      <c r="E167" s="68" t="inlineStr">
        <is>
          <t>Full and partial with tax reversal and a link to the original invoice.</t>
        </is>
      </c>
      <c r="F167" s="68" t="n"/>
      <c r="G167" s="68" t="inlineStr">
        <is>
          <t>Owner</t>
        </is>
      </c>
      <c r="H167" s="68" t="inlineStr">
        <is>
          <t>Clinic</t>
        </is>
      </c>
      <c r="I167" s="68" t="inlineStr">
        <is>
          <t>Fullstack</t>
        </is>
      </c>
      <c r="J167" s="69" t="inlineStr">
        <is>
          <t>Must</t>
        </is>
      </c>
      <c r="K167" s="69" t="inlineStr">
        <is>
          <t>MVP</t>
        </is>
      </c>
      <c r="L167" s="69" t="n">
        <v>8</v>
      </c>
      <c r="M167" s="69" t="n">
        <v>14</v>
      </c>
      <c r="N167" s="68">
        <f>IF(M167&lt;=4,"R1 Foundation",IF(M167&lt;=8,"R2 Core Clinic",IF(M167&lt;=13,"R3 Revenue &amp; Messaging",IF(M167&lt;=18,"R4 Patient &amp; Platform",IF(M167&lt;=20,"R5 Harden","R6 Launch")))))</f>
        <v/>
      </c>
      <c r="O167" s="70">
        <f>L167*README!$B$32</f>
        <v/>
      </c>
      <c r="P167" s="68" t="inlineStr">
        <is>
          <t>NB-162, NB-163, NB-164</t>
        </is>
      </c>
      <c r="Q167" s="68" t="inlineStr">
        <is>
          <t>Credit note references the original; the ledger balances</t>
        </is>
      </c>
      <c r="R167" s="68" t="inlineStr">
        <is>
          <t>Not started</t>
        </is>
      </c>
      <c r="S167" s="68" t="n"/>
    </row>
    <row r="168" ht="23.85" customHeight="1" s="51">
      <c r="A168" s="62" t="inlineStr">
        <is>
          <t>NB-167</t>
        </is>
      </c>
      <c r="B168" s="62" t="inlineStr">
        <is>
          <t>E15 Billing, Tax &amp; Payments</t>
        </is>
      </c>
      <c r="C168" s="62" t="inlineStr">
        <is>
          <t>Billing</t>
        </is>
      </c>
      <c r="D168" s="62" t="inlineStr">
        <is>
          <t>Payment capture — cash, card, UPI, Mada, wallets</t>
        </is>
      </c>
      <c r="E168" s="62" t="inlineStr">
        <is>
          <t>Region-specific methods with split payment support.</t>
        </is>
      </c>
      <c r="F168" s="62" t="n"/>
      <c r="G168" s="62" t="inlineStr">
        <is>
          <t>Reception</t>
        </is>
      </c>
      <c r="H168" s="62" t="inlineStr">
        <is>
          <t>Clinic</t>
        </is>
      </c>
      <c r="I168" s="62" t="inlineStr">
        <is>
          <t>Fullstack</t>
        </is>
      </c>
      <c r="J168" s="66" t="inlineStr">
        <is>
          <t>Must</t>
        </is>
      </c>
      <c r="K168" s="66" t="inlineStr">
        <is>
          <t>MVP</t>
        </is>
      </c>
      <c r="L168" s="66" t="n">
        <v>8</v>
      </c>
      <c r="M168" s="66" t="n">
        <v>13</v>
      </c>
      <c r="N168" s="62">
        <f>IF(M168&lt;=4,"R1 Foundation",IF(M168&lt;=8,"R2 Core Clinic",IF(M168&lt;=13,"R3 Revenue &amp; Messaging",IF(M168&lt;=18,"R4 Patient &amp; Platform",IF(M168&lt;=20,"R5 Harden","R6 Launch")))))</f>
        <v/>
      </c>
      <c r="O168" s="67">
        <f>L168*README!$B$32</f>
        <v/>
      </c>
      <c r="P168" s="62" t="inlineStr">
        <is>
          <t>NB-162</t>
        </is>
      </c>
      <c r="Q168" s="62" t="inlineStr">
        <is>
          <t>Split payments across methods reconcile to the invoice total</t>
        </is>
      </c>
      <c r="R168" s="62" t="inlineStr">
        <is>
          <t>Not started</t>
        </is>
      </c>
      <c r="S168" s="62" t="n"/>
    </row>
    <row r="169" ht="23.85" customHeight="1" s="51">
      <c r="A169" s="68" t="inlineStr">
        <is>
          <t>NB-168</t>
        </is>
      </c>
      <c r="B169" s="68" t="inlineStr">
        <is>
          <t>E15 Billing, Tax &amp; Payments</t>
        </is>
      </c>
      <c r="C169" s="68" t="inlineStr">
        <is>
          <t>Billing</t>
        </is>
      </c>
      <c r="D169" s="68" t="inlineStr">
        <is>
          <t>Payment gateway integration</t>
        </is>
      </c>
      <c r="E169" s="68" t="inlineStr">
        <is>
          <t>Tokenised, PCI-DSS SAQ-A scope, webhook reconciliation, idempotent capture.</t>
        </is>
      </c>
      <c r="F169" s="68" t="n"/>
      <c r="G169" s="68" t="inlineStr">
        <is>
          <t>Reception</t>
        </is>
      </c>
      <c r="H169" s="68" t="inlineStr">
        <is>
          <t>Clinic</t>
        </is>
      </c>
      <c r="I169" s="68" t="inlineStr">
        <is>
          <t>Integration</t>
        </is>
      </c>
      <c r="J169" s="69" t="inlineStr">
        <is>
          <t>Must</t>
        </is>
      </c>
      <c r="K169" s="69" t="inlineStr">
        <is>
          <t>MVP</t>
        </is>
      </c>
      <c r="L169" s="69" t="n">
        <v>8</v>
      </c>
      <c r="M169" s="69" t="n">
        <v>14</v>
      </c>
      <c r="N169" s="68">
        <f>IF(M169&lt;=4,"R1 Foundation",IF(M169&lt;=8,"R2 Core Clinic",IF(M169&lt;=13,"R3 Revenue &amp; Messaging",IF(M169&lt;=18,"R4 Patient &amp; Platform",IF(M169&lt;=20,"R5 Harden","R6 Launch")))))</f>
        <v/>
      </c>
      <c r="O169" s="70">
        <f>L169*README!$B$32</f>
        <v/>
      </c>
      <c r="P169" s="68" t="inlineStr">
        <is>
          <t>NB-167</t>
        </is>
      </c>
      <c r="Q169" s="68" t="inlineStr">
        <is>
          <t>No card data touches Nabd servers; a duplicate webhook is a no-op</t>
        </is>
      </c>
      <c r="R169" s="68" t="inlineStr">
        <is>
          <t>Not started</t>
        </is>
      </c>
      <c r="S169" s="68" t="n"/>
    </row>
    <row r="170" ht="23.85" customHeight="1" s="51">
      <c r="A170" s="62" t="inlineStr">
        <is>
          <t>NB-169</t>
        </is>
      </c>
      <c r="B170" s="62" t="inlineStr">
        <is>
          <t>E15 Billing, Tax &amp; Payments</t>
        </is>
      </c>
      <c r="C170" s="62" t="inlineStr">
        <is>
          <t>Billing</t>
        </is>
      </c>
      <c r="D170" s="62" t="inlineStr">
        <is>
          <t>Prepaid payment links &amp; desk QR collection</t>
        </is>
      </c>
      <c r="E170" s="62" t="inlineStr">
        <is>
          <t>Prepaid link sent to the patient; the existing desk-counter QR collection path is left untouched.</t>
        </is>
      </c>
      <c r="F170" s="62" t="inlineStr">
        <is>
          <t>RCP-08,PAT-10</t>
        </is>
      </c>
      <c r="G170" s="62" t="inlineStr">
        <is>
          <t>Reception,Patient</t>
        </is>
      </c>
      <c r="H170" s="62" t="inlineStr">
        <is>
          <t>Clinic</t>
        </is>
      </c>
      <c r="I170" s="62" t="inlineStr">
        <is>
          <t>Fullstack</t>
        </is>
      </c>
      <c r="J170" s="66" t="inlineStr">
        <is>
          <t>Must</t>
        </is>
      </c>
      <c r="K170" s="66" t="inlineStr">
        <is>
          <t>MVP</t>
        </is>
      </c>
      <c r="L170" s="66" t="n">
        <v>5</v>
      </c>
      <c r="M170" s="66" t="n">
        <v>15</v>
      </c>
      <c r="N170" s="62">
        <f>IF(M170&lt;=4,"R1 Foundation",IF(M170&lt;=8,"R2 Core Clinic",IF(M170&lt;=13,"R3 Revenue &amp; Messaging",IF(M170&lt;=18,"R4 Patient &amp; Platform",IF(M170&lt;=20,"R5 Harden","R6 Launch")))))</f>
        <v/>
      </c>
      <c r="O170" s="67">
        <f>L170*README!$B$32</f>
        <v/>
      </c>
      <c r="P170" s="62" t="inlineStr">
        <is>
          <t>NB-168, NB-197</t>
        </is>
      </c>
      <c r="Q170" s="62" t="inlineStr">
        <is>
          <t>Link is prepaid-only; desk QR flow is unchanged and still reconciles</t>
        </is>
      </c>
      <c r="R170" s="62" t="inlineStr">
        <is>
          <t>Not started</t>
        </is>
      </c>
      <c r="S170" s="62" t="n"/>
    </row>
    <row r="171" ht="23.85" customHeight="1" s="51">
      <c r="A171" s="68" t="inlineStr">
        <is>
          <t>NB-170</t>
        </is>
      </c>
      <c r="B171" s="68" t="inlineStr">
        <is>
          <t>E15 Billing, Tax &amp; Payments</t>
        </is>
      </c>
      <c r="C171" s="68" t="inlineStr">
        <is>
          <t>Billing</t>
        </is>
      </c>
      <c r="D171" s="68" t="inlineStr">
        <is>
          <t>Price transparency &amp; estimates</t>
        </is>
      </c>
      <c r="E171" s="68" t="inlineStr">
        <is>
          <t>A priced estimate sent over WhatsApp that converts to a bill in one tap.</t>
        </is>
      </c>
      <c r="F171" s="68" t="inlineStr">
        <is>
          <t>BIL-07</t>
        </is>
      </c>
      <c r="G171" s="68" t="inlineStr">
        <is>
          <t>Reception,Patient</t>
        </is>
      </c>
      <c r="H171" s="68" t="inlineStr">
        <is>
          <t>Clinic</t>
        </is>
      </c>
      <c r="I171" s="68" t="inlineStr">
        <is>
          <t>Fullstack</t>
        </is>
      </c>
      <c r="J171" s="69" t="inlineStr">
        <is>
          <t>Must</t>
        </is>
      </c>
      <c r="K171" s="69" t="inlineStr">
        <is>
          <t>MVP</t>
        </is>
      </c>
      <c r="L171" s="69" t="n">
        <v>8</v>
      </c>
      <c r="M171" s="69" t="n">
        <v>15</v>
      </c>
      <c r="N171" s="68">
        <f>IF(M171&lt;=4,"R1 Foundation",IF(M171&lt;=8,"R2 Core Clinic",IF(M171&lt;=13,"R3 Revenue &amp; Messaging",IF(M171&lt;=18,"R4 Patient &amp; Platform",IF(M171&lt;=20,"R5 Harden","R6 Launch")))))</f>
        <v/>
      </c>
      <c r="O171" s="70">
        <f>L171*README!$B$32</f>
        <v/>
      </c>
      <c r="P171" s="68" t="inlineStr">
        <is>
          <t>NB-061, NB-197</t>
        </is>
      </c>
      <c r="Q171" s="68" t="inlineStr">
        <is>
          <t>Estimate converts to an invoice without re-entry and the quoted price is honoured</t>
        </is>
      </c>
      <c r="R171" s="68" t="inlineStr">
        <is>
          <t>Not started</t>
        </is>
      </c>
      <c r="S171" s="68" t="n"/>
    </row>
    <row r="172" ht="23.85" customHeight="1" s="51">
      <c r="A172" s="62" t="inlineStr">
        <is>
          <t>NB-171</t>
        </is>
      </c>
      <c r="B172" s="62" t="inlineStr">
        <is>
          <t>E15 Billing, Tax &amp; Payments</t>
        </is>
      </c>
      <c r="C172" s="62" t="inlineStr">
        <is>
          <t>Billing</t>
        </is>
      </c>
      <c r="D172" s="62" t="inlineStr">
        <is>
          <t>Dues list &amp; automatic follow-up</t>
        </is>
      </c>
      <c r="E172" s="62" t="inlineStr">
        <is>
          <t>Age in days with an automatic reminder that stops the moment payment lands.</t>
        </is>
      </c>
      <c r="F172" s="62" t="inlineStr">
        <is>
          <t>BIL-06</t>
        </is>
      </c>
      <c r="G172" s="62" t="inlineStr">
        <is>
          <t>Reception,Owner</t>
        </is>
      </c>
      <c r="H172" s="62" t="inlineStr">
        <is>
          <t>Clinic</t>
        </is>
      </c>
      <c r="I172" s="62" t="inlineStr">
        <is>
          <t>Fullstack</t>
        </is>
      </c>
      <c r="J172" s="66" t="inlineStr">
        <is>
          <t>Must</t>
        </is>
      </c>
      <c r="K172" s="66" t="inlineStr">
        <is>
          <t>MVP</t>
        </is>
      </c>
      <c r="L172" s="66" t="n">
        <v>5</v>
      </c>
      <c r="M172" s="66" t="n">
        <v>15</v>
      </c>
      <c r="N172" s="62">
        <f>IF(M172&lt;=4,"R1 Foundation",IF(M172&lt;=8,"R2 Core Clinic",IF(M172&lt;=13,"R3 Revenue &amp; Messaging",IF(M172&lt;=18,"R4 Patient &amp; Platform",IF(M172&lt;=20,"R5 Harden","R6 Launch")))))</f>
        <v/>
      </c>
      <c r="O172" s="67">
        <f>L172*README!$B$32</f>
        <v/>
      </c>
      <c r="P172" s="62" t="inlineStr">
        <is>
          <t>NB-162, NB-308</t>
        </is>
      </c>
      <c r="Q172" s="62" t="inlineStr">
        <is>
          <t>Reminder stops on payment with no lag; ageing matches the ledger</t>
        </is>
      </c>
      <c r="R172" s="62" t="inlineStr">
        <is>
          <t>Not started</t>
        </is>
      </c>
      <c r="S172" s="62" t="n"/>
    </row>
    <row r="173" ht="23.85" customHeight="1" s="51">
      <c r="A173" s="68" t="inlineStr">
        <is>
          <t>NB-172</t>
        </is>
      </c>
      <c r="B173" s="68" t="inlineStr">
        <is>
          <t>E15 Billing, Tax &amp; Payments</t>
        </is>
      </c>
      <c r="C173" s="68" t="inlineStr">
        <is>
          <t>Billing</t>
        </is>
      </c>
      <c r="D173" s="68" t="inlineStr">
        <is>
          <t>Day close &amp; cash reconciliation</t>
        </is>
      </c>
      <c r="E173" s="68" t="inlineStr">
        <is>
          <t>Counter-wise collection, expected versus counted, variance reason and day lock.</t>
        </is>
      </c>
      <c r="F173" s="68" t="inlineStr">
        <is>
          <t>OWN-07</t>
        </is>
      </c>
      <c r="G173" s="68" t="inlineStr">
        <is>
          <t>Owner</t>
        </is>
      </c>
      <c r="H173" s="68" t="inlineStr">
        <is>
          <t>Clinic</t>
        </is>
      </c>
      <c r="I173" s="68" t="inlineStr">
        <is>
          <t>Fullstack</t>
        </is>
      </c>
      <c r="J173" s="69" t="inlineStr">
        <is>
          <t>Must</t>
        </is>
      </c>
      <c r="K173" s="69" t="inlineStr">
        <is>
          <t>MVP</t>
        </is>
      </c>
      <c r="L173" s="69" t="n">
        <v>8</v>
      </c>
      <c r="M173" s="69" t="n">
        <v>14</v>
      </c>
      <c r="N173" s="68">
        <f>IF(M173&lt;=4,"R1 Foundation",IF(M173&lt;=8,"R2 Core Clinic",IF(M173&lt;=13,"R3 Revenue &amp; Messaging",IF(M173&lt;=18,"R4 Patient &amp; Platform",IF(M173&lt;=20,"R5 Harden","R6 Launch")))))</f>
        <v/>
      </c>
      <c r="O173" s="70">
        <f>L173*README!$B$32</f>
        <v/>
      </c>
      <c r="P173" s="68" t="inlineStr">
        <is>
          <t>NB-167</t>
        </is>
      </c>
      <c r="Q173" s="68" t="inlineStr">
        <is>
          <t>A closed day is immutable; reopening requires owner approval and is audited</t>
        </is>
      </c>
      <c r="R173" s="68" t="inlineStr">
        <is>
          <t>Not started</t>
        </is>
      </c>
      <c r="S173" s="68" t="n"/>
    </row>
    <row r="174" ht="23.85" customHeight="1" s="51">
      <c r="A174" s="62" t="inlineStr">
        <is>
          <t>NB-173</t>
        </is>
      </c>
      <c r="B174" s="62" t="inlineStr">
        <is>
          <t>E15 Billing, Tax &amp; Payments</t>
        </is>
      </c>
      <c r="C174" s="62" t="inlineStr">
        <is>
          <t>Billing</t>
        </is>
      </c>
      <c r="D174" s="62" t="inlineStr">
        <is>
          <t>End-of-day desk summary</t>
        </is>
      </c>
      <c r="E174" s="62" t="inlineStr">
        <is>
          <t>Reception's own close-of-day summary, derived from the same billing source as day close.</t>
        </is>
      </c>
      <c r="F174" s="62" t="inlineStr">
        <is>
          <t>RCP-12</t>
        </is>
      </c>
      <c r="G174" s="62" t="inlineStr">
        <is>
          <t>Reception</t>
        </is>
      </c>
      <c r="H174" s="62" t="inlineStr">
        <is>
          <t>Clinic</t>
        </is>
      </c>
      <c r="I174" s="62" t="inlineStr">
        <is>
          <t>Fullstack</t>
        </is>
      </c>
      <c r="J174" s="66" t="inlineStr">
        <is>
          <t>Should</t>
        </is>
      </c>
      <c r="K174" s="66" t="inlineStr">
        <is>
          <t>MVP</t>
        </is>
      </c>
      <c r="L174" s="66" t="n">
        <v>5</v>
      </c>
      <c r="M174" s="66" t="n">
        <v>16</v>
      </c>
      <c r="N174" s="62">
        <f>IF(M174&lt;=4,"R1 Foundation",IF(M174&lt;=8,"R2 Core Clinic",IF(M174&lt;=13,"R3 Revenue &amp; Messaging",IF(M174&lt;=18,"R4 Patient &amp; Platform",IF(M174&lt;=20,"R5 Harden","R6 Launch")))))</f>
        <v/>
      </c>
      <c r="O174" s="67">
        <f>L174*README!$B$32</f>
        <v/>
      </c>
      <c r="P174" s="62" t="inlineStr">
        <is>
          <t>NB-172</t>
        </is>
      </c>
      <c r="Q174" s="62" t="inlineStr">
        <is>
          <t>Figures derive from the same source view as day close and cannot diverge</t>
        </is>
      </c>
      <c r="R174" s="62" t="inlineStr">
        <is>
          <t>Not started</t>
        </is>
      </c>
      <c r="S174" s="62" t="n"/>
    </row>
    <row r="175" ht="23.85" customHeight="1" s="51">
      <c r="A175" s="68" t="inlineStr">
        <is>
          <t>NB-174</t>
        </is>
      </c>
      <c r="B175" s="68" t="inlineStr">
        <is>
          <t>E15 Billing, Tax &amp; Payments</t>
        </is>
      </c>
      <c r="C175" s="68" t="inlineStr">
        <is>
          <t>Billing</t>
        </is>
      </c>
      <c r="D175" s="68" t="inlineStr">
        <is>
          <t>Invoice printing, PDF &amp; secure sharing</t>
        </is>
      </c>
      <c r="E175" s="68" t="inlineStr">
        <is>
          <t>Thermal and A4 layouts in all three languages, delivered via the secure link path.</t>
        </is>
      </c>
      <c r="F175" s="68" t="inlineStr">
        <is>
          <t>SYS-18</t>
        </is>
      </c>
      <c r="G175" s="68" t="inlineStr">
        <is>
          <t>Reception</t>
        </is>
      </c>
      <c r="H175" s="68" t="inlineStr">
        <is>
          <t>Clinic</t>
        </is>
      </c>
      <c r="I175" s="68" t="inlineStr">
        <is>
          <t>Fullstack</t>
        </is>
      </c>
      <c r="J175" s="69" t="inlineStr">
        <is>
          <t>Must</t>
        </is>
      </c>
      <c r="K175" s="69" t="inlineStr">
        <is>
          <t>MVP</t>
        </is>
      </c>
      <c r="L175" s="69" t="n">
        <v>5</v>
      </c>
      <c r="M175" s="69" t="n">
        <v>15</v>
      </c>
      <c r="N175" s="68">
        <f>IF(M175&lt;=4,"R1 Foundation",IF(M175&lt;=8,"R2 Core Clinic",IF(M175&lt;=13,"R3 Revenue &amp; Messaging",IF(M175&lt;=18,"R4 Patient &amp; Platform",IF(M175&lt;=20,"R5 Harden","R6 Launch")))))</f>
        <v/>
      </c>
      <c r="O175" s="70">
        <f>L175*README!$B$32</f>
        <v/>
      </c>
      <c r="P175" s="68" t="inlineStr">
        <is>
          <t>NB-162, NB-076</t>
        </is>
      </c>
      <c r="Q175" s="68" t="inlineStr">
        <is>
          <t>Arabic invoice prints RTL correctly on both layouts</t>
        </is>
      </c>
      <c r="R175" s="68" t="inlineStr">
        <is>
          <t>Not started</t>
        </is>
      </c>
      <c r="S175" s="68" t="n"/>
    </row>
    <row r="176" ht="35.05" customHeight="1" s="51">
      <c r="A176" s="62" t="inlineStr">
        <is>
          <t>NB-175</t>
        </is>
      </c>
      <c r="B176" s="62" t="inlineStr">
        <is>
          <t>E15 Billing, Tax &amp; Payments</t>
        </is>
      </c>
      <c r="C176" s="62" t="inlineStr">
        <is>
          <t>Billing</t>
        </is>
      </c>
      <c r="D176" s="62" t="inlineStr">
        <is>
          <t>Simple insurance claim export</t>
        </is>
      </c>
      <c r="E176" s="62" t="inlineStr">
        <is>
          <t>A claim pack assembled in under two minutes, requiring a valid licence number. Full claims via certified middleware are explicitly Phase 3 and Ayushman is out of scope.</t>
        </is>
      </c>
      <c r="F176" s="62" t="inlineStr">
        <is>
          <t>BIL-11,SYS-10,CMP-11</t>
        </is>
      </c>
      <c r="G176" s="62" t="inlineStr">
        <is>
          <t>Owner,Reception</t>
        </is>
      </c>
      <c r="H176" s="62" t="inlineStr">
        <is>
          <t>Clinic</t>
        </is>
      </c>
      <c r="I176" s="62" t="inlineStr">
        <is>
          <t>Fullstack</t>
        </is>
      </c>
      <c r="J176" s="66" t="inlineStr">
        <is>
          <t>Should</t>
        </is>
      </c>
      <c r="K176" s="66" t="inlineStr">
        <is>
          <t>MVP</t>
        </is>
      </c>
      <c r="L176" s="66" t="n">
        <v>8</v>
      </c>
      <c r="M176" s="66" t="n">
        <v>17</v>
      </c>
      <c r="N176" s="62">
        <f>IF(M176&lt;=4,"R1 Foundation",IF(M176&lt;=8,"R2 Core Clinic",IF(M176&lt;=13,"R3 Revenue &amp; Messaging",IF(M176&lt;=18,"R4 Patient &amp; Platform",IF(M176&lt;=20,"R5 Harden","R6 Launch")))))</f>
        <v/>
      </c>
      <c r="O176" s="67">
        <f>L176*README!$B$32</f>
        <v/>
      </c>
      <c r="P176" s="62" t="inlineStr">
        <is>
          <t>NB-162, NB-070</t>
        </is>
      </c>
      <c r="Q176" s="62" t="inlineStr">
        <is>
          <t>Claim pack builds in under two minutes; blocked with a clear reason when the licence has expired</t>
        </is>
      </c>
      <c r="R176" s="62" t="inlineStr">
        <is>
          <t>Not started</t>
        </is>
      </c>
      <c r="S176" s="62" t="n"/>
    </row>
    <row r="177" ht="23.85" customHeight="1" s="51">
      <c r="A177" s="68" t="inlineStr">
        <is>
          <t>NB-176</t>
        </is>
      </c>
      <c r="B177" s="68" t="inlineStr">
        <is>
          <t>E15 Billing, Tax &amp; Payments</t>
        </is>
      </c>
      <c r="C177" s="68" t="inlineStr">
        <is>
          <t>Billing</t>
        </is>
      </c>
      <c r="D177" s="68" t="inlineStr">
        <is>
          <t>NPHIES eligibility-check-lite</t>
        </is>
      </c>
      <c r="E177" s="68" t="inlineStr">
        <is>
          <t>One-click coverage check shown on the patient row before billing. No live claim pipeline here.</t>
        </is>
      </c>
      <c r="F177" s="68" t="inlineStr">
        <is>
          <t>RCP-07,SYS-10</t>
        </is>
      </c>
      <c r="G177" s="68" t="inlineStr">
        <is>
          <t>Reception</t>
        </is>
      </c>
      <c r="H177" s="68" t="inlineStr">
        <is>
          <t>Clinic</t>
        </is>
      </c>
      <c r="I177" s="68" t="inlineStr">
        <is>
          <t>Integration</t>
        </is>
      </c>
      <c r="J177" s="69" t="inlineStr">
        <is>
          <t>Should</t>
        </is>
      </c>
      <c r="K177" s="69" t="inlineStr">
        <is>
          <t>Phase 2</t>
        </is>
      </c>
      <c r="L177" s="69" t="n">
        <v>8</v>
      </c>
      <c r="M177" s="69" t="n">
        <v>19</v>
      </c>
      <c r="N177" s="68">
        <f>IF(M177&lt;=4,"R1 Foundation",IF(M177&lt;=8,"R2 Core Clinic",IF(M177&lt;=13,"R3 Revenue &amp; Messaging",IF(M177&lt;=18,"R4 Patient &amp; Platform",IF(M177&lt;=20,"R5 Harden","R6 Launch")))))</f>
        <v/>
      </c>
      <c r="O177" s="70">
        <f>L177*README!$B$32</f>
        <v/>
      </c>
      <c r="P177" s="68" t="inlineStr">
        <is>
          <t>NB-162, NB-070</t>
        </is>
      </c>
      <c r="Q177" s="68" t="inlineStr">
        <is>
          <t>Coverage result appears on the patient row before billing; no claim is submitted</t>
        </is>
      </c>
      <c r="R177" s="68" t="inlineStr">
        <is>
          <t>Not started</t>
        </is>
      </c>
      <c r="S177" s="68" t="n"/>
    </row>
    <row r="178" ht="35.05" customHeight="1" s="51">
      <c r="A178" s="62" t="inlineStr">
        <is>
          <t>NB-177</t>
        </is>
      </c>
      <c r="B178" s="62" t="inlineStr">
        <is>
          <t>E16 Pharmacy</t>
        </is>
      </c>
      <c r="C178" s="62" t="inlineStr">
        <is>
          <t>Pharmacy</t>
        </is>
      </c>
      <c r="D178" s="62" t="inlineStr">
        <is>
          <t>Pharmacy mode configuration — external, hybrid, in-house</t>
        </is>
      </c>
      <c r="E178" s="62" t="inlineStr">
        <is>
          <t>Three modes with a published capability matrix; hybrid and in-house are paid tiers.</t>
        </is>
      </c>
      <c r="F178" s="62" t="inlineStr">
        <is>
          <t>CAD-11</t>
        </is>
      </c>
      <c r="G178" s="62" t="inlineStr">
        <is>
          <t>Owner</t>
        </is>
      </c>
      <c r="H178" s="62" t="inlineStr">
        <is>
          <t>Clinic</t>
        </is>
      </c>
      <c r="I178" s="62" t="inlineStr">
        <is>
          <t>Fullstack</t>
        </is>
      </c>
      <c r="J178" s="66" t="inlineStr">
        <is>
          <t>Must</t>
        </is>
      </c>
      <c r="K178" s="66" t="inlineStr">
        <is>
          <t>MVP</t>
        </is>
      </c>
      <c r="L178" s="66" t="n">
        <v>8</v>
      </c>
      <c r="M178" s="66" t="n">
        <v>16</v>
      </c>
      <c r="N178" s="62">
        <f>IF(M178&lt;=4,"R1 Foundation",IF(M178&lt;=8,"R2 Core Clinic",IF(M178&lt;=13,"R3 Revenue &amp; Messaging",IF(M178&lt;=18,"R4 Patient &amp; Platform",IF(M178&lt;=20,"R5 Harden","R6 Launch")))))</f>
        <v/>
      </c>
      <c r="O178" s="67">
        <f>L178*README!$B$32</f>
        <v/>
      </c>
      <c r="P178" s="62" t="inlineStr">
        <is>
          <t>NB-008, NB-061</t>
        </is>
      </c>
      <c r="Q178" s="62" t="inlineStr">
        <is>
          <t>Mode switch changes available capability exactly per the rules grid; downgrade makes the item master read-only with no new dispensing</t>
        </is>
      </c>
      <c r="R178" s="62" t="inlineStr">
        <is>
          <t>Done</t>
        </is>
      </c>
      <c r="S178" s="62" t="n"/>
    </row>
    <row r="179" ht="23.85" customHeight="1" s="51">
      <c r="A179" s="68" t="inlineStr">
        <is>
          <t>NB-178</t>
        </is>
      </c>
      <c r="B179" s="68" t="inlineStr">
        <is>
          <t>E16 Pharmacy</t>
        </is>
      </c>
      <c r="C179" s="68" t="inlineStr">
        <is>
          <t>Pharmacy</t>
        </is>
      </c>
      <c r="D179" s="68" t="inlineStr">
        <is>
          <t>Small-shelf item master</t>
        </is>
      </c>
      <c r="E179" s="68" t="inlineStr">
        <is>
          <t>An item creatable in under a minute for clinics with a small shelf.</t>
        </is>
      </c>
      <c r="F179" s="68" t="inlineStr">
        <is>
          <t>PHR-12</t>
        </is>
      </c>
      <c r="G179" s="68" t="inlineStr">
        <is>
          <t>Reception,Owner</t>
        </is>
      </c>
      <c r="H179" s="68" t="inlineStr">
        <is>
          <t>Clinic</t>
        </is>
      </c>
      <c r="I179" s="68" t="inlineStr">
        <is>
          <t>Fullstack</t>
        </is>
      </c>
      <c r="J179" s="69" t="inlineStr">
        <is>
          <t>Must</t>
        </is>
      </c>
      <c r="K179" s="69" t="inlineStr">
        <is>
          <t>MVP</t>
        </is>
      </c>
      <c r="L179" s="69" t="n">
        <v>5</v>
      </c>
      <c r="M179" s="69" t="n">
        <v>16</v>
      </c>
      <c r="N179" s="68">
        <f>IF(M179&lt;=4,"R1 Foundation",IF(M179&lt;=8,"R2 Core Clinic",IF(M179&lt;=13,"R3 Revenue &amp; Messaging",IF(M179&lt;=18,"R4 Patient &amp; Platform",IF(M179&lt;=20,"R5 Harden","R6 Launch")))))</f>
        <v/>
      </c>
      <c r="O179" s="70">
        <f>L179*README!$B$32</f>
        <v/>
      </c>
      <c r="P179" s="68" t="inlineStr">
        <is>
          <t>NB-177</t>
        </is>
      </c>
      <c r="Q179" s="68" t="inlineStr">
        <is>
          <t>New item created in under a minute; becomes read-only when the mode is downgraded</t>
        </is>
      </c>
      <c r="R179" s="68" t="inlineStr">
        <is>
          <t>Done</t>
        </is>
      </c>
      <c r="S179" s="68" t="n"/>
    </row>
    <row r="180" ht="23.85" customHeight="1" s="51">
      <c r="A180" s="62" t="inlineStr">
        <is>
          <t>NB-179</t>
        </is>
      </c>
      <c r="B180" s="62" t="inlineStr">
        <is>
          <t>E16 Pharmacy</t>
        </is>
      </c>
      <c r="C180" s="62" t="inlineStr">
        <is>
          <t>Pharmacy</t>
        </is>
      </c>
      <c r="D180" s="62" t="inlineStr">
        <is>
          <t>e-Rx dispensing queue</t>
        </is>
      </c>
      <c r="E180" s="62" t="inlineStr">
        <is>
          <t>A prescription appears in the dispensing queue within five seconds of consultation close, visible from billing.</t>
        </is>
      </c>
      <c r="F180" s="62" t="inlineStr">
        <is>
          <t>PHR-01</t>
        </is>
      </c>
      <c r="G180" s="62" t="inlineStr">
        <is>
          <t>Reception</t>
        </is>
      </c>
      <c r="H180" s="62" t="inlineStr">
        <is>
          <t>Clinic</t>
        </is>
      </c>
      <c r="I180" s="62" t="inlineStr">
        <is>
          <t>Fullstack</t>
        </is>
      </c>
      <c r="J180" s="66" t="inlineStr">
        <is>
          <t>Must</t>
        </is>
      </c>
      <c r="K180" s="66" t="inlineStr">
        <is>
          <t>MVP</t>
        </is>
      </c>
      <c r="L180" s="66" t="n">
        <v>8</v>
      </c>
      <c r="M180" s="66" t="n">
        <v>17</v>
      </c>
      <c r="N180" s="62">
        <f>IF(M180&lt;=4,"R1 Foundation",IF(M180&lt;=8,"R2 Core Clinic",IF(M180&lt;=13,"R3 Revenue &amp; Messaging",IF(M180&lt;=18,"R4 Patient &amp; Platform",IF(M180&lt;=20,"R5 Harden","R6 Launch")))))</f>
        <v/>
      </c>
      <c r="O180" s="67">
        <f>L180*README!$B$32</f>
        <v/>
      </c>
      <c r="P180" s="62" t="inlineStr">
        <is>
          <t>NB-177, NB-109</t>
        </is>
      </c>
      <c r="Q180" s="62" t="inlineStr">
        <is>
          <t>Prescription reaches the queue within five seconds of consultation close</t>
        </is>
      </c>
      <c r="R180" s="62" t="inlineStr">
        <is>
          <t>Done</t>
        </is>
      </c>
      <c r="S180" s="62" t="n"/>
    </row>
    <row r="181" ht="23.85" customHeight="1" s="51">
      <c r="A181" s="68" t="inlineStr">
        <is>
          <t>NB-180</t>
        </is>
      </c>
      <c r="B181" s="68" t="inlineStr">
        <is>
          <t>E16 Pharmacy</t>
        </is>
      </c>
      <c r="C181" s="68" t="inlineStr">
        <is>
          <t>Pharmacy</t>
        </is>
      </c>
      <c r="D181" s="68" t="inlineStr">
        <is>
          <t>One-tap dispense &amp; bill via the Consumable category</t>
        </is>
      </c>
      <c r="E181" s="68" t="inlineStr">
        <is>
          <t>Dispensing raises a Consumable line on the single patient bill and decrements stock in one action.</t>
        </is>
      </c>
      <c r="F181" s="68" t="inlineStr">
        <is>
          <t>PHR-06,PHR-09</t>
        </is>
      </c>
      <c r="G181" s="68" t="inlineStr">
        <is>
          <t>Reception</t>
        </is>
      </c>
      <c r="H181" s="68" t="inlineStr">
        <is>
          <t>Clinic</t>
        </is>
      </c>
      <c r="I181" s="68" t="inlineStr">
        <is>
          <t>Fullstack</t>
        </is>
      </c>
      <c r="J181" s="69" t="inlineStr">
        <is>
          <t>Must</t>
        </is>
      </c>
      <c r="K181" s="69" t="inlineStr">
        <is>
          <t>MVP</t>
        </is>
      </c>
      <c r="L181" s="69" t="n">
        <v>8</v>
      </c>
      <c r="M181" s="69" t="n">
        <v>17</v>
      </c>
      <c r="N181" s="68">
        <f>IF(M181&lt;=4,"R1 Foundation",IF(M181&lt;=8,"R2 Core Clinic",IF(M181&lt;=13,"R3 Revenue &amp; Messaging",IF(M181&lt;=18,"R4 Patient &amp; Platform",IF(M181&lt;=20,"R5 Harden","R6 Launch")))))</f>
        <v/>
      </c>
      <c r="O181" s="70">
        <f>L181*README!$B$32</f>
        <v/>
      </c>
      <c r="P181" s="68" t="inlineStr">
        <is>
          <t>NB-178, NB-162</t>
        </is>
      </c>
      <c r="Q181" s="68" t="inlineStr">
        <is>
          <t>One bill, one tap, stock decremented atomically</t>
        </is>
      </c>
      <c r="R181" s="68" t="inlineStr">
        <is>
          <t>Done</t>
        </is>
      </c>
      <c r="S181" s="68" t="n"/>
    </row>
    <row r="182" ht="23.85" customHeight="1" s="51">
      <c r="A182" s="62" t="inlineStr">
        <is>
          <t>NB-181</t>
        </is>
      </c>
      <c r="B182" s="62" t="inlineStr">
        <is>
          <t>E16 Pharmacy</t>
        </is>
      </c>
      <c r="C182" s="62" t="inlineStr">
        <is>
          <t>Pharmacy</t>
        </is>
      </c>
      <c r="D182" s="62" t="inlineStr">
        <is>
          <t>Full inventory with batch &amp; expiry, FEFO suggestion</t>
        </is>
      </c>
      <c r="E182" s="62" t="inlineStr">
        <is>
          <t>Every batch carries a number and expiry; earliest-expiry-first is suggested by default.</t>
        </is>
      </c>
      <c r="F182" s="62" t="inlineStr">
        <is>
          <t>PHR-03</t>
        </is>
      </c>
      <c r="G182" s="62" t="inlineStr">
        <is>
          <t>Reception,Owner</t>
        </is>
      </c>
      <c r="H182" s="62" t="inlineStr">
        <is>
          <t>Clinic</t>
        </is>
      </c>
      <c r="I182" s="62" t="inlineStr">
        <is>
          <t>Fullstack</t>
        </is>
      </c>
      <c r="J182" s="66" t="inlineStr">
        <is>
          <t>Must</t>
        </is>
      </c>
      <c r="K182" s="66" t="inlineStr">
        <is>
          <t>Phase 2</t>
        </is>
      </c>
      <c r="L182" s="66" t="n">
        <v>8</v>
      </c>
      <c r="M182" s="66" t="n">
        <v>18</v>
      </c>
      <c r="N182" s="62">
        <f>IF(M182&lt;=4,"R1 Foundation",IF(M182&lt;=8,"R2 Core Clinic",IF(M182&lt;=13,"R3 Revenue &amp; Messaging",IF(M182&lt;=18,"R4 Patient &amp; Platform",IF(M182&lt;=20,"R5 Harden","R6 Launch")))))</f>
        <v/>
      </c>
      <c r="O182" s="67">
        <f>L182*README!$B$32</f>
        <v/>
      </c>
      <c r="P182" s="62" t="inlineStr">
        <is>
          <t>NB-178</t>
        </is>
      </c>
      <c r="Q182" s="62" t="inlineStr">
        <is>
          <t>FEFO suggested by default; overriding it requires an explicit action</t>
        </is>
      </c>
      <c r="R182" s="62" t="inlineStr">
        <is>
          <t>Not started</t>
        </is>
      </c>
      <c r="S182" s="62" t="n"/>
    </row>
    <row r="183" ht="23.85" customHeight="1" s="51">
      <c r="A183" s="68" t="inlineStr">
        <is>
          <t>NB-182</t>
        </is>
      </c>
      <c r="B183" s="68" t="inlineStr">
        <is>
          <t>E16 Pharmacy</t>
        </is>
      </c>
      <c r="C183" s="68" t="inlineStr">
        <is>
          <t>Pharmacy</t>
        </is>
      </c>
      <c r="D183" s="68" t="inlineStr">
        <is>
          <t>Controlled-drug register</t>
        </is>
      </c>
      <c r="E183" s="68" t="inlineStr">
        <is>
          <t>Warning plus register entry — deliberately no hard block, since no registered pharmacist licence is assumed.</t>
        </is>
      </c>
      <c r="F183" s="68" t="inlineStr">
        <is>
          <t>PHR-04,CEO-27</t>
        </is>
      </c>
      <c r="G183" s="68" t="inlineStr">
        <is>
          <t>Reception,Owner</t>
        </is>
      </c>
      <c r="H183" s="68" t="inlineStr">
        <is>
          <t>Clinic</t>
        </is>
      </c>
      <c r="I183" s="68" t="inlineStr">
        <is>
          <t>Fullstack</t>
        </is>
      </c>
      <c r="J183" s="69" t="inlineStr">
        <is>
          <t>Must</t>
        </is>
      </c>
      <c r="K183" s="69" t="inlineStr">
        <is>
          <t>Phase 2</t>
        </is>
      </c>
      <c r="L183" s="69" t="n">
        <v>8</v>
      </c>
      <c r="M183" s="69" t="n">
        <v>18</v>
      </c>
      <c r="N183" s="68">
        <f>IF(M183&lt;=4,"R1 Foundation",IF(M183&lt;=8,"R2 Core Clinic",IF(M183&lt;=13,"R3 Revenue &amp; Messaging",IF(M183&lt;=18,"R4 Patient &amp; Platform",IF(M183&lt;=20,"R5 Harden","R6 Launch")))))</f>
        <v/>
      </c>
      <c r="O183" s="70">
        <f>L183*README!$B$32</f>
        <v/>
      </c>
      <c r="P183" s="68" t="inlineStr">
        <is>
          <t>NB-178, NB-111</t>
        </is>
      </c>
      <c r="Q183" s="68" t="inlineStr">
        <is>
          <t>Warning shown and register entry written; dispensing is not hard-blocked</t>
        </is>
      </c>
      <c r="R183" s="68" t="inlineStr">
        <is>
          <t>Not started</t>
        </is>
      </c>
      <c r="S183" s="68" t="n"/>
    </row>
    <row r="184" ht="23.85" customHeight="1" s="51">
      <c r="A184" s="62" t="inlineStr">
        <is>
          <t>NB-183</t>
        </is>
      </c>
      <c r="B184" s="62" t="inlineStr">
        <is>
          <t>E16 Pharmacy</t>
        </is>
      </c>
      <c r="C184" s="62" t="inlineStr">
        <is>
          <t>Pharmacy</t>
        </is>
      </c>
      <c r="D184" s="62" t="inlineStr">
        <is>
          <t>Low-stock &amp; expiry alerts to a named person</t>
        </is>
      </c>
      <c r="E184" s="62" t="inlineStr">
        <is>
          <t>Alerts go to one named person, never a mailing list.</t>
        </is>
      </c>
      <c r="F184" s="62" t="inlineStr">
        <is>
          <t>PHR-10</t>
        </is>
      </c>
      <c r="G184" s="62" t="inlineStr">
        <is>
          <t>Owner</t>
        </is>
      </c>
      <c r="H184" s="62" t="inlineStr">
        <is>
          <t>Clinic</t>
        </is>
      </c>
      <c r="I184" s="62" t="inlineStr">
        <is>
          <t>Fullstack</t>
        </is>
      </c>
      <c r="J184" s="66" t="inlineStr">
        <is>
          <t>Should</t>
        </is>
      </c>
      <c r="K184" s="66" t="inlineStr">
        <is>
          <t>Phase 2</t>
        </is>
      </c>
      <c r="L184" s="66" t="n">
        <v>5</v>
      </c>
      <c r="M184" s="66" t="n">
        <v>19</v>
      </c>
      <c r="N184" s="62">
        <f>IF(M184&lt;=4,"R1 Foundation",IF(M184&lt;=8,"R2 Core Clinic",IF(M184&lt;=13,"R3 Revenue &amp; Messaging",IF(M184&lt;=18,"R4 Patient &amp; Platform",IF(M184&lt;=20,"R5 Harden","R6 Launch")))))</f>
        <v/>
      </c>
      <c r="O184" s="67">
        <f>L184*README!$B$32</f>
        <v/>
      </c>
      <c r="P184" s="62" t="inlineStr">
        <is>
          <t>NB-181, NB-308</t>
        </is>
      </c>
      <c r="Q184" s="62" t="inlineStr">
        <is>
          <t>Alert recipient is a single named user; thresholds configurable</t>
        </is>
      </c>
      <c r="R184" s="62" t="inlineStr">
        <is>
          <t>Not started</t>
        </is>
      </c>
      <c r="S184" s="62" t="n"/>
    </row>
    <row r="185" ht="23.85" customHeight="1" s="51">
      <c r="A185" s="68" t="inlineStr">
        <is>
          <t>NB-184</t>
        </is>
      </c>
      <c r="B185" s="68" t="inlineStr">
        <is>
          <t>E16 Pharmacy</t>
        </is>
      </c>
      <c r="C185" s="68" t="inlineStr">
        <is>
          <t>Pharmacy</t>
        </is>
      </c>
      <c r="D185" s="68" t="inlineStr">
        <is>
          <t>WhatsApp refill reminders</t>
        </is>
      </c>
      <c r="E185" s="68" t="inlineStr">
        <is>
          <t>Timing derived from the dispensed quantity. A controlled item is barred from self-serve refill.</t>
        </is>
      </c>
      <c r="F185" s="68" t="inlineStr">
        <is>
          <t>PHR-05</t>
        </is>
      </c>
      <c r="G185" s="68" t="inlineStr">
        <is>
          <t>Patient</t>
        </is>
      </c>
      <c r="H185" s="68" t="inlineStr">
        <is>
          <t>Patient</t>
        </is>
      </c>
      <c r="I185" s="68" t="inlineStr">
        <is>
          <t>Fullstack</t>
        </is>
      </c>
      <c r="J185" s="69" t="inlineStr">
        <is>
          <t>Should</t>
        </is>
      </c>
      <c r="K185" s="69" t="inlineStr">
        <is>
          <t>Phase 2</t>
        </is>
      </c>
      <c r="L185" s="69" t="n">
        <v>5</v>
      </c>
      <c r="M185" s="69" t="n">
        <v>19</v>
      </c>
      <c r="N185" s="68">
        <f>IF(M185&lt;=4,"R1 Foundation",IF(M185&lt;=8,"R2 Core Clinic",IF(M185&lt;=13,"R3 Revenue &amp; Messaging",IF(M185&lt;=18,"R4 Patient &amp; Platform",IF(M185&lt;=20,"R5 Harden","R6 Launch")))))</f>
        <v/>
      </c>
      <c r="O185" s="70">
        <f>L185*README!$B$32</f>
        <v/>
      </c>
      <c r="P185" s="68" t="inlineStr">
        <is>
          <t>NB-179, NB-197</t>
        </is>
      </c>
      <c r="Q185" s="68" t="inlineStr">
        <is>
          <t>Refill timing derives from dispensed quantity; controlled items cannot self-refill</t>
        </is>
      </c>
      <c r="R185" s="68" t="inlineStr">
        <is>
          <t>Not started</t>
        </is>
      </c>
      <c r="S185" s="68" t="n"/>
    </row>
    <row r="186" ht="23.85" customHeight="1" s="51">
      <c r="A186" s="62" t="inlineStr">
        <is>
          <t>NB-185</t>
        </is>
      </c>
      <c r="B186" s="62" t="inlineStr">
        <is>
          <t>E16 Pharmacy</t>
        </is>
      </c>
      <c r="C186" s="62" t="inlineStr">
        <is>
          <t>Pharmacy</t>
        </is>
      </c>
      <c r="D186" s="62" t="inlineStr">
        <is>
          <t>Bought-where adherence capture</t>
        </is>
      </c>
      <c r="E186" s="62" t="inlineStr">
        <is>
          <t>Asked at pre-consult in every mode. Capture only, consent-worded for this purpose, never monetised.</t>
        </is>
      </c>
      <c r="F186" s="62" t="inlineStr">
        <is>
          <t>PHR-11,CEO-25</t>
        </is>
      </c>
      <c r="G186" s="62" t="inlineStr">
        <is>
          <t>Doctor,Nurse</t>
        </is>
      </c>
      <c r="H186" s="62" t="inlineStr">
        <is>
          <t>Clinic</t>
        </is>
      </c>
      <c r="I186" s="62" t="inlineStr">
        <is>
          <t>Fullstack</t>
        </is>
      </c>
      <c r="J186" s="66" t="inlineStr">
        <is>
          <t>Should</t>
        </is>
      </c>
      <c r="K186" s="66" t="inlineStr">
        <is>
          <t>MVP</t>
        </is>
      </c>
      <c r="L186" s="66" t="n">
        <v>5</v>
      </c>
      <c r="M186" s="66" t="n">
        <v>17</v>
      </c>
      <c r="N186" s="62">
        <f>IF(M186&lt;=4,"R1 Foundation",IF(M186&lt;=8,"R2 Core Clinic",IF(M186&lt;=13,"R3 Revenue &amp; Messaging",IF(M186&lt;=18,"R4 Patient &amp; Platform",IF(M186&lt;=20,"R5 Harden","R6 Launch")))))</f>
        <v/>
      </c>
      <c r="O186" s="67">
        <f>L186*README!$B$32</f>
        <v/>
      </c>
      <c r="P186" s="62" t="inlineStr">
        <is>
          <t>NB-102, NB-242</t>
        </is>
      </c>
      <c r="Q186" s="62" t="inlineStr">
        <is>
          <t>Consent wording is purpose-specific; the data has no commercial export path</t>
        </is>
      </c>
      <c r="R186" s="62" t="inlineStr">
        <is>
          <t>Not started</t>
        </is>
      </c>
      <c r="S186" s="62" t="n"/>
    </row>
    <row r="187" ht="23.85" customHeight="1" s="51">
      <c r="A187" s="68" t="inlineStr">
        <is>
          <t>NB-186</t>
        </is>
      </c>
      <c r="B187" s="68" t="inlineStr">
        <is>
          <t>E16 Pharmacy</t>
        </is>
      </c>
      <c r="C187" s="68" t="inlineStr">
        <is>
          <t>Pharmacy</t>
        </is>
      </c>
      <c r="D187" s="68" t="inlineStr">
        <is>
          <t>Over-the-counter sale without a patient record</t>
        </is>
      </c>
      <c r="E187" s="68" t="inlineStr">
        <is>
          <t>A counter sale creates neither a patient record nor a token.</t>
        </is>
      </c>
      <c r="F187" s="68" t="inlineStr">
        <is>
          <t>PHR-12</t>
        </is>
      </c>
      <c r="G187" s="68" t="inlineStr">
        <is>
          <t>Reception</t>
        </is>
      </c>
      <c r="H187" s="68" t="inlineStr">
        <is>
          <t>Clinic</t>
        </is>
      </c>
      <c r="I187" s="68" t="inlineStr">
        <is>
          <t>Fullstack</t>
        </is>
      </c>
      <c r="J187" s="69" t="inlineStr">
        <is>
          <t>Could</t>
        </is>
      </c>
      <c r="K187" s="69" t="inlineStr">
        <is>
          <t>Phase 2</t>
        </is>
      </c>
      <c r="L187" s="69" t="n">
        <v>5</v>
      </c>
      <c r="M187" s="69" t="n">
        <v>20</v>
      </c>
      <c r="N187" s="68">
        <f>IF(M187&lt;=4,"R1 Foundation",IF(M187&lt;=8,"R2 Core Clinic",IF(M187&lt;=13,"R3 Revenue &amp; Messaging",IF(M187&lt;=18,"R4 Patient &amp; Platform",IF(M187&lt;=20,"R5 Harden","R6 Launch")))))</f>
        <v/>
      </c>
      <c r="O187" s="70">
        <f>L187*README!$B$32</f>
        <v/>
      </c>
      <c r="P187" s="68" t="inlineStr">
        <is>
          <t>NB-180</t>
        </is>
      </c>
      <c r="Q187" s="68" t="inlineStr">
        <is>
          <t>OTC sale produces an invoice with no patient record or token created</t>
        </is>
      </c>
      <c r="R187" s="68" t="inlineStr">
        <is>
          <t>Done</t>
        </is>
      </c>
      <c r="S187" s="68" t="n"/>
    </row>
    <row r="188" ht="15" customHeight="1" s="51">
      <c r="A188" s="62" t="inlineStr">
        <is>
          <t>NB-187</t>
        </is>
      </c>
      <c r="B188" s="62" t="inlineStr">
        <is>
          <t>E16 Pharmacy</t>
        </is>
      </c>
      <c r="C188" s="62" t="inlineStr">
        <is>
          <t>Pharmacy</t>
        </is>
      </c>
      <c r="D188" s="62" t="inlineStr">
        <is>
          <t>Pharmacy stock reporting &amp; valuation</t>
        </is>
      </c>
      <c r="E188" s="62" t="inlineStr">
        <is>
          <t>Stock on hand, movement, expiry write-off and valuation.</t>
        </is>
      </c>
      <c r="F188" s="62" t="inlineStr">
        <is>
          <t>PHR-03,PHR-10</t>
        </is>
      </c>
      <c r="G188" s="62" t="inlineStr">
        <is>
          <t>Owner</t>
        </is>
      </c>
      <c r="H188" s="62" t="inlineStr">
        <is>
          <t>Clinic</t>
        </is>
      </c>
      <c r="I188" s="62" t="inlineStr">
        <is>
          <t>Fullstack</t>
        </is>
      </c>
      <c r="J188" s="66" t="inlineStr">
        <is>
          <t>Could</t>
        </is>
      </c>
      <c r="K188" s="66" t="inlineStr">
        <is>
          <t>Phase 3</t>
        </is>
      </c>
      <c r="L188" s="66" t="n">
        <v>5</v>
      </c>
      <c r="M188" s="66" t="n">
        <v>21</v>
      </c>
      <c r="N188" s="62">
        <f>IF(M188&lt;=4,"R1 Foundation",IF(M188&lt;=8,"R2 Core Clinic",IF(M188&lt;=13,"R3 Revenue &amp; Messaging",IF(M188&lt;=18,"R4 Patient &amp; Platform",IF(M188&lt;=20,"R5 Harden","R6 Launch")))))</f>
        <v/>
      </c>
      <c r="O188" s="67">
        <f>L188*README!$B$32</f>
        <v/>
      </c>
      <c r="P188" s="62" t="inlineStr">
        <is>
          <t>NB-181, NB-228</t>
        </is>
      </c>
      <c r="Q188" s="62" t="inlineStr">
        <is>
          <t>Valuation reconciles with purchase and dispense history</t>
        </is>
      </c>
      <c r="R188" s="62" t="inlineStr">
        <is>
          <t>Not started</t>
        </is>
      </c>
      <c r="S188" s="62" t="n"/>
    </row>
    <row r="189" ht="35.05" customHeight="1" s="51">
      <c r="A189" s="68" t="inlineStr">
        <is>
          <t>NB-188</t>
        </is>
      </c>
      <c r="B189" s="68" t="inlineStr">
        <is>
          <t>E17 Messaging Platform &amp; WhatsApp Infrastructure</t>
        </is>
      </c>
      <c r="C189" s="68" t="inlineStr">
        <is>
          <t>Messaging</t>
        </is>
      </c>
      <c r="D189" s="68" t="inlineStr">
        <is>
          <t>Managed WhatsApp Business onboarding (SYS-25)</t>
        </is>
      </c>
      <c r="E189" s="68" t="inlineStr">
        <is>
          <t>The clinic never touches Meta Business Manager. Nabd completes Meta verification on the clinic's behalf as a fully managed service.</t>
        </is>
      </c>
      <c r="F189" s="68" t="inlineStr">
        <is>
          <t>SYS-25,CAD-07,SSA-03</t>
        </is>
      </c>
      <c r="G189" s="68" t="inlineStr">
        <is>
          <t>Owner,Platform</t>
        </is>
      </c>
      <c r="H189" s="68" t="inlineStr">
        <is>
          <t>Patient</t>
        </is>
      </c>
      <c r="I189" s="68" t="inlineStr">
        <is>
          <t>Integration</t>
        </is>
      </c>
      <c r="J189" s="69" t="inlineStr">
        <is>
          <t>Must</t>
        </is>
      </c>
      <c r="K189" s="69" t="inlineStr">
        <is>
          <t>MVP</t>
        </is>
      </c>
      <c r="L189" s="69" t="n">
        <v>13</v>
      </c>
      <c r="M189" s="69" t="n">
        <v>9</v>
      </c>
      <c r="N189" s="68">
        <f>IF(M189&lt;=4,"R1 Foundation",IF(M189&lt;=8,"R2 Core Clinic",IF(M189&lt;=13,"R3 Revenue &amp; Messaging",IF(M189&lt;=18,"R4 Patient &amp; Platform",IF(M189&lt;=20,"R5 Harden","R6 Launch")))))</f>
        <v/>
      </c>
      <c r="O189" s="70">
        <f>L189*README!$B$32</f>
        <v/>
      </c>
      <c r="P189" s="68" t="inlineStr">
        <is>
          <t>NB-007, NB-261</t>
        </is>
      </c>
      <c r="Q189" s="68" t="inlineStr">
        <is>
          <t>A clinic goes live on WhatsApp without ever opening Meta Business Manager</t>
        </is>
      </c>
      <c r="R189" s="68" t="inlineStr">
        <is>
          <t>Not started</t>
        </is>
      </c>
      <c r="S189" s="68" t="n"/>
    </row>
    <row r="190" ht="23.85" customHeight="1" s="51">
      <c r="A190" s="62" t="inlineStr">
        <is>
          <t>NB-189</t>
        </is>
      </c>
      <c r="B190" s="62" t="inlineStr">
        <is>
          <t>E17 Messaging Platform &amp; WhatsApp Infrastructure</t>
        </is>
      </c>
      <c r="C190" s="62" t="inlineStr">
        <is>
          <t>Messaging</t>
        </is>
      </c>
      <c r="D190" s="62" t="inlineStr">
        <is>
          <t>Shared trial number to owned number migration</t>
        </is>
      </c>
      <c r="E190" s="62" t="inlineStr">
        <is>
          <t>Shared number on trial, the clinic's own number once paid, migrating without losing conversation history.</t>
        </is>
      </c>
      <c r="F190" s="62" t="inlineStr">
        <is>
          <t>SSA-03,CAD-07</t>
        </is>
      </c>
      <c r="G190" s="62" t="inlineStr">
        <is>
          <t>Platform,Owner</t>
        </is>
      </c>
      <c r="H190" s="62" t="inlineStr">
        <is>
          <t>Patient</t>
        </is>
      </c>
      <c r="I190" s="62" t="inlineStr">
        <is>
          <t>Integration</t>
        </is>
      </c>
      <c r="J190" s="66" t="inlineStr">
        <is>
          <t>Must</t>
        </is>
      </c>
      <c r="K190" s="66" t="inlineStr">
        <is>
          <t>MVP</t>
        </is>
      </c>
      <c r="L190" s="66" t="n">
        <v>8</v>
      </c>
      <c r="M190" s="66" t="n">
        <v>12</v>
      </c>
      <c r="N190" s="62">
        <f>IF(M190&lt;=4,"R1 Foundation",IF(M190&lt;=8,"R2 Core Clinic",IF(M190&lt;=13,"R3 Revenue &amp; Messaging",IF(M190&lt;=18,"R4 Patient &amp; Platform",IF(M190&lt;=20,"R5 Harden","R6 Launch")))))</f>
        <v/>
      </c>
      <c r="O190" s="67">
        <f>L190*README!$B$32</f>
        <v/>
      </c>
      <c r="P190" s="62" t="inlineStr">
        <is>
          <t>NB-188</t>
        </is>
      </c>
      <c r="Q190" s="62" t="inlineStr">
        <is>
          <t>Migration preserves history and in-flight conversations</t>
        </is>
      </c>
      <c r="R190" s="62" t="inlineStr">
        <is>
          <t>Not started</t>
        </is>
      </c>
      <c r="S190" s="62" t="n"/>
    </row>
    <row r="191" ht="23.85" customHeight="1" s="51">
      <c r="A191" s="68" t="inlineStr">
        <is>
          <t>NB-190</t>
        </is>
      </c>
      <c r="B191" s="68" t="inlineStr">
        <is>
          <t>E17 Messaging Platform &amp; WhatsApp Infrastructure</t>
        </is>
      </c>
      <c r="C191" s="68" t="inlineStr">
        <is>
          <t>Messaging</t>
        </is>
      </c>
      <c r="D191" s="68" t="inlineStr">
        <is>
          <t>Template library, approval state &amp; quality rating</t>
        </is>
      </c>
      <c r="E191" s="68" t="inlineStr">
        <is>
          <t>Template registration, approval tracking and per-number quality monitoring.</t>
        </is>
      </c>
      <c r="F191" s="68" t="inlineStr">
        <is>
          <t>CAD-07,SSA-03</t>
        </is>
      </c>
      <c r="G191" s="68" t="inlineStr">
        <is>
          <t>Owner,Platform</t>
        </is>
      </c>
      <c r="H191" s="68" t="inlineStr">
        <is>
          <t>Patient</t>
        </is>
      </c>
      <c r="I191" s="68" t="inlineStr">
        <is>
          <t>Integration</t>
        </is>
      </c>
      <c r="J191" s="69" t="inlineStr">
        <is>
          <t>Must</t>
        </is>
      </c>
      <c r="K191" s="69" t="inlineStr">
        <is>
          <t>MVP</t>
        </is>
      </c>
      <c r="L191" s="69" t="n">
        <v>8</v>
      </c>
      <c r="M191" s="69" t="n">
        <v>10</v>
      </c>
      <c r="N191" s="68">
        <f>IF(M191&lt;=4,"R1 Foundation",IF(M191&lt;=8,"R2 Core Clinic",IF(M191&lt;=13,"R3 Revenue &amp; Messaging",IF(M191&lt;=18,"R4 Patient &amp; Platform",IF(M191&lt;=20,"R5 Harden","R6 Launch")))))</f>
        <v/>
      </c>
      <c r="O191" s="70">
        <f>L191*README!$B$32</f>
        <v/>
      </c>
      <c r="P191" s="68" t="inlineStr">
        <is>
          <t>NB-188</t>
        </is>
      </c>
      <c r="Q191" s="68" t="inlineStr">
        <is>
          <t>Rejected templates surface to the clinic with the reason and a fix path</t>
        </is>
      </c>
      <c r="R191" s="68" t="inlineStr">
        <is>
          <t>Not started</t>
        </is>
      </c>
      <c r="S191" s="68" t="n"/>
    </row>
    <row r="192" ht="23.85" customHeight="1" s="51">
      <c r="A192" s="62" t="inlineStr">
        <is>
          <t>NB-191</t>
        </is>
      </c>
      <c r="B192" s="62" t="inlineStr">
        <is>
          <t>E17 Messaging Platform &amp; WhatsApp Infrastructure</t>
        </is>
      </c>
      <c r="C192" s="62" t="inlineStr">
        <is>
          <t>Messaging</t>
        </is>
      </c>
      <c r="D192" s="62" t="inlineStr">
        <is>
          <t>Variable-fill-only template enforcement</t>
        </is>
      </c>
      <c r="E192" s="62" t="inlineStr">
        <is>
          <t>Fixed template text is not editable anywhere in the product; only variable slots accept input.</t>
        </is>
      </c>
      <c r="F192" s="62" t="inlineStr">
        <is>
          <t>CMP-07</t>
        </is>
      </c>
      <c r="G192" s="62" t="inlineStr">
        <is>
          <t>Reception</t>
        </is>
      </c>
      <c r="H192" s="62" t="inlineStr">
        <is>
          <t>Patient</t>
        </is>
      </c>
      <c r="I192" s="62" t="inlineStr">
        <is>
          <t>Fullstack</t>
        </is>
      </c>
      <c r="J192" s="66" t="inlineStr">
        <is>
          <t>Must</t>
        </is>
      </c>
      <c r="K192" s="66" t="inlineStr">
        <is>
          <t>MVP</t>
        </is>
      </c>
      <c r="L192" s="66" t="n">
        <v>5</v>
      </c>
      <c r="M192" s="66" t="n">
        <v>10</v>
      </c>
      <c r="N192" s="62">
        <f>IF(M192&lt;=4,"R1 Foundation",IF(M192&lt;=8,"R2 Core Clinic",IF(M192&lt;=13,"R3 Revenue &amp; Messaging",IF(M192&lt;=18,"R4 Patient &amp; Platform",IF(M192&lt;=20,"R5 Harden","R6 Launch")))))</f>
        <v/>
      </c>
      <c r="O192" s="67">
        <f>L192*README!$B$32</f>
        <v/>
      </c>
      <c r="P192" s="62" t="inlineStr">
        <is>
          <t>NB-190, NB-018</t>
        </is>
      </c>
      <c r="Q192" s="62" t="inlineStr">
        <is>
          <t>Fixed text is physically uneditable in every send path, including the API</t>
        </is>
      </c>
      <c r="R192" s="62" t="inlineStr">
        <is>
          <t>Not started</t>
        </is>
      </c>
      <c r="S192" s="62" t="n"/>
    </row>
    <row r="193" ht="35.05" customHeight="1" s="51">
      <c r="A193" s="68" t="inlineStr">
        <is>
          <t>NB-192</t>
        </is>
      </c>
      <c r="B193" s="68" t="inlineStr">
        <is>
          <t>E17 Messaging Platform &amp; WhatsApp Infrastructure</t>
        </is>
      </c>
      <c r="C193" s="68" t="inlineStr">
        <is>
          <t>Messaging</t>
        </is>
      </c>
      <c r="D193" s="68" t="inlineStr">
        <is>
          <t>24-hour session window governance</t>
        </is>
      </c>
      <c r="E193" s="68" t="inlineStr">
        <is>
          <t>Composer accepts free text only while the window is open; a closing-soon countdown then an expired state that permits approved templates only.</t>
        </is>
      </c>
      <c r="F193" s="68" t="n"/>
      <c r="G193" s="68" t="inlineStr">
        <is>
          <t>Reception,Nurse</t>
        </is>
      </c>
      <c r="H193" s="68" t="inlineStr">
        <is>
          <t>Patient</t>
        </is>
      </c>
      <c r="I193" s="68" t="inlineStr">
        <is>
          <t>Fullstack</t>
        </is>
      </c>
      <c r="J193" s="69" t="inlineStr">
        <is>
          <t>Must</t>
        </is>
      </c>
      <c r="K193" s="69" t="inlineStr">
        <is>
          <t>MVP</t>
        </is>
      </c>
      <c r="L193" s="69" t="n">
        <v>5</v>
      </c>
      <c r="M193" s="69" t="n">
        <v>11</v>
      </c>
      <c r="N193" s="68">
        <f>IF(M193&lt;=4,"R1 Foundation",IF(M193&lt;=8,"R2 Core Clinic",IF(M193&lt;=13,"R3 Revenue &amp; Messaging",IF(M193&lt;=18,"R4 Patient &amp; Platform",IF(M193&lt;=20,"R5 Harden","R6 Launch")))))</f>
        <v/>
      </c>
      <c r="O193" s="70">
        <f>L193*README!$B$32</f>
        <v/>
      </c>
      <c r="P193" s="68" t="inlineStr">
        <is>
          <t>NB-018, NB-190</t>
        </is>
      </c>
      <c r="Q193" s="68" t="inlineStr">
        <is>
          <t>Free text is refused once the window expires; countdown is accurate to the second</t>
        </is>
      </c>
      <c r="R193" s="68" t="inlineStr">
        <is>
          <t>Not started</t>
        </is>
      </c>
      <c r="S193" s="68" t="n"/>
    </row>
    <row r="194" ht="23.85" customHeight="1" s="51">
      <c r="A194" s="62" t="inlineStr">
        <is>
          <t>NB-193</t>
        </is>
      </c>
      <c r="B194" s="62" t="inlineStr">
        <is>
          <t>E17 Messaging Platform &amp; WhatsApp Infrastructure</t>
        </is>
      </c>
      <c r="C194" s="62" t="inlineStr">
        <is>
          <t>Messaging</t>
        </is>
      </c>
      <c r="D194" s="62" t="inlineStr">
        <is>
          <t>Delivery-state tracking &amp; SMS fallback</t>
        </is>
      </c>
      <c r="E194" s="62" t="inlineStr">
        <is>
          <t>Queued, delivered, read, failed, SMS fallback queued and blocked. Fallback fires automatically on failure.</t>
        </is>
      </c>
      <c r="F194" s="62" t="inlineStr">
        <is>
          <t>SYS-01</t>
        </is>
      </c>
      <c r="G194" s="62" t="inlineStr">
        <is>
          <t>Reception,Platform</t>
        </is>
      </c>
      <c r="H194" s="62" t="inlineStr">
        <is>
          <t>Patient</t>
        </is>
      </c>
      <c r="I194" s="62" t="inlineStr">
        <is>
          <t>Integration</t>
        </is>
      </c>
      <c r="J194" s="66" t="inlineStr">
        <is>
          <t>Must</t>
        </is>
      </c>
      <c r="K194" s="66" t="inlineStr">
        <is>
          <t>MVP</t>
        </is>
      </c>
      <c r="L194" s="66" t="n">
        <v>8</v>
      </c>
      <c r="M194" s="66" t="n">
        <v>11</v>
      </c>
      <c r="N194" s="62">
        <f>IF(M194&lt;=4,"R1 Foundation",IF(M194&lt;=8,"R2 Core Clinic",IF(M194&lt;=13,"R3 Revenue &amp; Messaging",IF(M194&lt;=18,"R4 Patient &amp; Platform",IF(M194&lt;=20,"R5 Harden","R6 Launch")))))</f>
        <v/>
      </c>
      <c r="O194" s="67">
        <f>L194*README!$B$32</f>
        <v/>
      </c>
      <c r="P194" s="62" t="inlineStr">
        <is>
          <t>NB-188, NB-007</t>
        </is>
      </c>
      <c r="Q194" s="62" t="inlineStr">
        <is>
          <t>Failure triggers SMS fallback automatically and the state is visible per message</t>
        </is>
      </c>
      <c r="R194" s="62" t="inlineStr">
        <is>
          <t>Not started</t>
        </is>
      </c>
      <c r="S194" s="62" t="n"/>
    </row>
    <row r="195" ht="23.85" customHeight="1" s="51">
      <c r="A195" s="68" t="inlineStr">
        <is>
          <t>NB-194</t>
        </is>
      </c>
      <c r="B195" s="68" t="inlineStr">
        <is>
          <t>E17 Messaging Platform &amp; WhatsApp Infrastructure</t>
        </is>
      </c>
      <c r="C195" s="68" t="inlineStr">
        <is>
          <t>Messaging</t>
        </is>
      </c>
      <c r="D195" s="68" t="inlineStr">
        <is>
          <t>India DLT registration &amp; messaging compliance</t>
        </is>
      </c>
      <c r="E195" s="68" t="inlineStr">
        <is>
          <t>India-specific DLT template registration, entirely absent for KSA tenants.</t>
        </is>
      </c>
      <c r="F195" s="68" t="inlineStr">
        <is>
          <t>CMP-07</t>
        </is>
      </c>
      <c r="G195" s="68" t="inlineStr">
        <is>
          <t>Owner,Platform</t>
        </is>
      </c>
      <c r="H195" s="68" t="inlineStr">
        <is>
          <t>Patient</t>
        </is>
      </c>
      <c r="I195" s="68" t="inlineStr">
        <is>
          <t>Integration</t>
        </is>
      </c>
      <c r="J195" s="69" t="inlineStr">
        <is>
          <t>Must</t>
        </is>
      </c>
      <c r="K195" s="69" t="inlineStr">
        <is>
          <t>MVP</t>
        </is>
      </c>
      <c r="L195" s="69" t="n">
        <v>8</v>
      </c>
      <c r="M195" s="69" t="n">
        <v>13</v>
      </c>
      <c r="N195" s="68">
        <f>IF(M195&lt;=4,"R1 Foundation",IF(M195&lt;=8,"R2 Core Clinic",IF(M195&lt;=13,"R3 Revenue &amp; Messaging",IF(M195&lt;=18,"R4 Patient &amp; Platform",IF(M195&lt;=20,"R5 Harden","R6 Launch")))))</f>
        <v/>
      </c>
      <c r="O195" s="70">
        <f>L195*README!$B$32</f>
        <v/>
      </c>
      <c r="P195" s="68" t="inlineStr">
        <is>
          <t>NB-190</t>
        </is>
      </c>
      <c r="Q195" s="68" t="inlineStr">
        <is>
          <t>DLT-compliant templates registered; the whole surface is absent for KSA tenants</t>
        </is>
      </c>
      <c r="R195" s="68" t="inlineStr">
        <is>
          <t>Not started</t>
        </is>
      </c>
      <c r="S195" s="68" t="n"/>
    </row>
    <row r="196" ht="23.85" customHeight="1" s="51">
      <c r="A196" s="62" t="inlineStr">
        <is>
          <t>NB-195</t>
        </is>
      </c>
      <c r="B196" s="62" t="inlineStr">
        <is>
          <t>E17 Messaging Platform &amp; WhatsApp Infrastructure</t>
        </is>
      </c>
      <c r="C196" s="62" t="inlineStr">
        <is>
          <t>Messaging</t>
        </is>
      </c>
      <c r="D196" s="62" t="inlineStr">
        <is>
          <t>Prayer-window send reconciliation</t>
        </is>
      </c>
      <c r="E196" s="62" t="inlineStr">
        <is>
          <t>Routine sends defer around prayer windows; operationally urgent broadcasts such as doctor delay are not held.</t>
        </is>
      </c>
      <c r="F196" s="62" t="inlineStr">
        <is>
          <t>SYS-03</t>
        </is>
      </c>
      <c r="G196" s="62" t="inlineStr">
        <is>
          <t>Patient,Reception</t>
        </is>
      </c>
      <c r="H196" s="62" t="inlineStr">
        <is>
          <t>Patient</t>
        </is>
      </c>
      <c r="I196" s="62" t="inlineStr">
        <is>
          <t>Backend</t>
        </is>
      </c>
      <c r="J196" s="66" t="inlineStr">
        <is>
          <t>Must</t>
        </is>
      </c>
      <c r="K196" s="66" t="inlineStr">
        <is>
          <t>MVP</t>
        </is>
      </c>
      <c r="L196" s="66" t="n">
        <v>5</v>
      </c>
      <c r="M196" s="66" t="n">
        <v>12</v>
      </c>
      <c r="N196" s="62">
        <f>IF(M196&lt;=4,"R1 Foundation",IF(M196&lt;=8,"R2 Core Clinic",IF(M196&lt;=13,"R3 Revenue &amp; Messaging",IF(M196&lt;=18,"R4 Patient &amp; Platform",IF(M196&lt;=20,"R5 Harden","R6 Launch")))))</f>
        <v/>
      </c>
      <c r="O196" s="67">
        <f>L196*README!$B$32</f>
        <v/>
      </c>
      <c r="P196" s="62" t="inlineStr">
        <is>
          <t>NB-193</t>
        </is>
      </c>
      <c r="Q196" s="62" t="inlineStr">
        <is>
          <t>Routine reminder defers past the window; a delay broadcast sends immediately</t>
        </is>
      </c>
      <c r="R196" s="62" t="inlineStr">
        <is>
          <t>Not started</t>
        </is>
      </c>
      <c r="S196" s="62" t="n"/>
    </row>
    <row r="197" ht="23.85" customHeight="1" s="51">
      <c r="A197" s="68" t="inlineStr">
        <is>
          <t>NB-196</t>
        </is>
      </c>
      <c r="B197" s="68" t="inlineStr">
        <is>
          <t>E17 Messaging Platform &amp; WhatsApp Infrastructure</t>
        </is>
      </c>
      <c r="C197" s="68" t="inlineStr">
        <is>
          <t>Messaging</t>
        </is>
      </c>
      <c r="D197" s="68" t="inlineStr">
        <is>
          <t>Consent gate on every outbound send</t>
        </is>
      </c>
      <c r="E197" s="68" t="inlineStr">
        <is>
          <t>Consent is enforced at send time and takes effect across every surface in under a minute.</t>
        </is>
      </c>
      <c r="F197" s="68" t="inlineStr">
        <is>
          <t>SYS-02,CMP-02,NFR-08</t>
        </is>
      </c>
      <c r="G197" s="68" t="inlineStr">
        <is>
          <t>All</t>
        </is>
      </c>
      <c r="H197" s="68" t="inlineStr">
        <is>
          <t>Shared</t>
        </is>
      </c>
      <c r="I197" s="68" t="inlineStr">
        <is>
          <t>Backend</t>
        </is>
      </c>
      <c r="J197" s="69" t="inlineStr">
        <is>
          <t>Must</t>
        </is>
      </c>
      <c r="K197" s="69" t="inlineStr">
        <is>
          <t>MVP</t>
        </is>
      </c>
      <c r="L197" s="69" t="n">
        <v>8</v>
      </c>
      <c r="M197" s="69" t="n">
        <v>11</v>
      </c>
      <c r="N197" s="68">
        <f>IF(M197&lt;=4,"R1 Foundation",IF(M197&lt;=8,"R2 Core Clinic",IF(M197&lt;=13,"R3 Revenue &amp; Messaging",IF(M197&lt;=18,"R4 Patient &amp; Platform",IF(M197&lt;=20,"R5 Harden","R6 Launch")))))</f>
        <v/>
      </c>
      <c r="O197" s="70">
        <f>L197*README!$B$32</f>
        <v/>
      </c>
      <c r="P197" s="68" t="inlineStr">
        <is>
          <t>NB-053, NB-193</t>
        </is>
      </c>
      <c r="Q197" s="68" t="inlineStr">
        <is>
          <t>Withdrawing consent suppresses an already-queued reminder within one minute</t>
        </is>
      </c>
      <c r="R197" s="68" t="inlineStr">
        <is>
          <t>Not started</t>
        </is>
      </c>
      <c r="S197" s="68" t="n"/>
    </row>
    <row r="198" ht="23.85" customHeight="1" s="51">
      <c r="A198" s="62" t="inlineStr">
        <is>
          <t>NB-197</t>
        </is>
      </c>
      <c r="B198" s="62" t="inlineStr">
        <is>
          <t>E17 Messaging Platform &amp; WhatsApp Infrastructure</t>
        </is>
      </c>
      <c r="C198" s="62" t="inlineStr">
        <is>
          <t>Messaging</t>
        </is>
      </c>
      <c r="D198" s="62" t="inlineStr">
        <is>
          <t>Shared clinic WhatsApp inbox with canned replies</t>
        </is>
      </c>
      <c r="E198" s="62" t="inlineStr">
        <is>
          <t>Reception's shared inbox with conversation list, ageing chips, unread counts and canned replies.</t>
        </is>
      </c>
      <c r="F198" s="62" t="inlineStr">
        <is>
          <t>RCP-11</t>
        </is>
      </c>
      <c r="G198" s="62" t="inlineStr">
        <is>
          <t>Reception</t>
        </is>
      </c>
      <c r="H198" s="62" t="inlineStr">
        <is>
          <t>Clinic</t>
        </is>
      </c>
      <c r="I198" s="62" t="inlineStr">
        <is>
          <t>Fullstack</t>
        </is>
      </c>
      <c r="J198" s="66" t="inlineStr">
        <is>
          <t>Must</t>
        </is>
      </c>
      <c r="K198" s="66" t="inlineStr">
        <is>
          <t>MVP</t>
        </is>
      </c>
      <c r="L198" s="66" t="n">
        <v>13</v>
      </c>
      <c r="M198" s="66" t="n">
        <v>13</v>
      </c>
      <c r="N198" s="62">
        <f>IF(M198&lt;=4,"R1 Foundation",IF(M198&lt;=8,"R2 Core Clinic",IF(M198&lt;=13,"R3 Revenue &amp; Messaging",IF(M198&lt;=18,"R4 Patient &amp; Platform",IF(M198&lt;=20,"R5 Harden","R6 Launch")))))</f>
        <v/>
      </c>
      <c r="O198" s="67">
        <f>L198*README!$B$32</f>
        <v/>
      </c>
      <c r="P198" s="62" t="inlineStr">
        <is>
          <t>NB-018, NB-192, NB-193</t>
        </is>
      </c>
      <c r="Q198" s="62" t="inlineStr">
        <is>
          <t>Conversations age visibly past the threshold; canned replies respect the session window</t>
        </is>
      </c>
      <c r="R198" s="62" t="inlineStr">
        <is>
          <t>Not started</t>
        </is>
      </c>
      <c r="S198" s="62" t="n"/>
    </row>
    <row r="199" ht="23.85" customHeight="1" s="51">
      <c r="A199" s="68" t="inlineStr">
        <is>
          <t>NB-198</t>
        </is>
      </c>
      <c r="B199" s="68" t="inlineStr">
        <is>
          <t>E17 Messaging Platform &amp; WhatsApp Infrastructure</t>
        </is>
      </c>
      <c r="C199" s="68" t="inlineStr">
        <is>
          <t>Messaging</t>
        </is>
      </c>
      <c r="D199" s="68" t="inlineStr">
        <is>
          <t>Clinic-branded personal messaging</t>
        </is>
      </c>
      <c r="E199" s="68" t="inlineStr">
        <is>
          <t>Messages carry the clinic's identity rather than a generic platform identity.</t>
        </is>
      </c>
      <c r="F199" s="68" t="inlineStr">
        <is>
          <t>PAT-17</t>
        </is>
      </c>
      <c r="G199" s="68" t="inlineStr">
        <is>
          <t>Patient</t>
        </is>
      </c>
      <c r="H199" s="68" t="inlineStr">
        <is>
          <t>Patient</t>
        </is>
      </c>
      <c r="I199" s="68" t="inlineStr">
        <is>
          <t>Fullstack</t>
        </is>
      </c>
      <c r="J199" s="69" t="inlineStr">
        <is>
          <t>Must</t>
        </is>
      </c>
      <c r="K199" s="69" t="inlineStr">
        <is>
          <t>MVP</t>
        </is>
      </c>
      <c r="L199" s="69" t="n">
        <v>5</v>
      </c>
      <c r="M199" s="69" t="n">
        <v>12</v>
      </c>
      <c r="N199" s="68">
        <f>IF(M199&lt;=4,"R1 Foundation",IF(M199&lt;=8,"R2 Core Clinic",IF(M199&lt;=13,"R3 Revenue &amp; Messaging",IF(M199&lt;=18,"R4 Patient &amp; Platform",IF(M199&lt;=20,"R5 Harden","R6 Launch")))))</f>
        <v/>
      </c>
      <c r="O199" s="70">
        <f>L199*README!$B$32</f>
        <v/>
      </c>
      <c r="P199" s="68" t="inlineStr">
        <is>
          <t>NB-188</t>
        </is>
      </c>
      <c r="Q199" s="68" t="inlineStr">
        <is>
          <t>Clinic name and branding appear on the patient's device</t>
        </is>
      </c>
      <c r="R199" s="68" t="inlineStr">
        <is>
          <t>Not started</t>
        </is>
      </c>
      <c r="S199" s="68" t="n"/>
    </row>
    <row r="200" ht="23.85" customHeight="1" s="51">
      <c r="A200" s="62" t="inlineStr">
        <is>
          <t>NB-199</t>
        </is>
      </c>
      <c r="B200" s="62" t="inlineStr">
        <is>
          <t>E17 Messaging Platform &amp; WhatsApp Infrastructure</t>
        </is>
      </c>
      <c r="C200" s="62" t="inlineStr">
        <is>
          <t>Messaging</t>
        </is>
      </c>
      <c r="D200" s="62" t="inlineStr">
        <is>
          <t>Campaign engine with child &amp; consent pre-checks</t>
        </is>
      </c>
      <c r="E200" s="62" t="inlineStr">
        <is>
          <t>Campaign sends pre-filtered against child profiles and consent state before dispatch.</t>
        </is>
      </c>
      <c r="F200" s="62" t="inlineStr">
        <is>
          <t>DPO-09,CMP-04,SYS-02</t>
        </is>
      </c>
      <c r="G200" s="62" t="inlineStr">
        <is>
          <t>Owner</t>
        </is>
      </c>
      <c r="H200" s="62" t="inlineStr">
        <is>
          <t>Patient</t>
        </is>
      </c>
      <c r="I200" s="62" t="inlineStr">
        <is>
          <t>Backend</t>
        </is>
      </c>
      <c r="J200" s="66" t="inlineStr">
        <is>
          <t>Must</t>
        </is>
      </c>
      <c r="K200" s="66" t="inlineStr">
        <is>
          <t>MVP</t>
        </is>
      </c>
      <c r="L200" s="66" t="n">
        <v>5</v>
      </c>
      <c r="M200" s="66" t="n">
        <v>14</v>
      </c>
      <c r="N200" s="62">
        <f>IF(M200&lt;=4,"R1 Foundation",IF(M200&lt;=8,"R2 Core Clinic",IF(M200&lt;=13,"R3 Revenue &amp; Messaging",IF(M200&lt;=18,"R4 Patient &amp; Platform",IF(M200&lt;=20,"R5 Harden","R6 Launch")))))</f>
        <v/>
      </c>
      <c r="O200" s="67">
        <f>L200*README!$B$32</f>
        <v/>
      </c>
      <c r="P200" s="62" t="inlineStr">
        <is>
          <t>NB-196</t>
        </is>
      </c>
      <c r="Q200" s="62" t="inlineStr">
        <is>
          <t>A campaign cannot dispatch to a child profile or a withdrawn consent</t>
        </is>
      </c>
      <c r="R200" s="62" t="inlineStr">
        <is>
          <t>Not started</t>
        </is>
      </c>
      <c r="S200" s="62" t="n"/>
    </row>
    <row r="201" ht="35.05" customHeight="1" s="51">
      <c r="A201" s="68" t="inlineStr">
        <is>
          <t>NB-200</t>
        </is>
      </c>
      <c r="B201" s="68" t="inlineStr">
        <is>
          <t>E17 Messaging Platform &amp; WhatsApp Infrastructure</t>
        </is>
      </c>
      <c r="C201" s="68" t="inlineStr">
        <is>
          <t>Messaging</t>
        </is>
      </c>
      <c r="D201" s="68" t="inlineStr">
        <is>
          <t>Messaging concurrency &amp; provider capacity model</t>
        </is>
      </c>
      <c r="E201" s="68" t="inlineStr">
        <is>
          <t>Patient-side concurrency is unbounded and each conversation is stateless; the real ceiling is provider capacity (80 msg/s per verified number, 1000 conversations/24h).</t>
        </is>
      </c>
      <c r="F201" s="68" t="inlineStr">
        <is>
          <t>NFR-02</t>
        </is>
      </c>
      <c r="G201" s="68" t="inlineStr">
        <is>
          <t>Platform</t>
        </is>
      </c>
      <c r="H201" s="68" t="inlineStr">
        <is>
          <t>Patient</t>
        </is>
      </c>
      <c r="I201" s="68" t="inlineStr">
        <is>
          <t>Backend</t>
        </is>
      </c>
      <c r="J201" s="69" t="inlineStr">
        <is>
          <t>Must</t>
        </is>
      </c>
      <c r="K201" s="69" t="inlineStr">
        <is>
          <t>MVP</t>
        </is>
      </c>
      <c r="L201" s="69" t="n">
        <v>8</v>
      </c>
      <c r="M201" s="69" t="n">
        <v>16</v>
      </c>
      <c r="N201" s="68">
        <f>IF(M201&lt;=4,"R1 Foundation",IF(M201&lt;=8,"R2 Core Clinic",IF(M201&lt;=13,"R3 Revenue &amp; Messaging",IF(M201&lt;=18,"R4 Patient &amp; Platform",IF(M201&lt;=20,"R5 Harden","R6 Launch")))))</f>
        <v/>
      </c>
      <c r="O201" s="70">
        <f>L201*README!$B$32</f>
        <v/>
      </c>
      <c r="P201" s="68" t="inlineStr">
        <is>
          <t>NB-193</t>
        </is>
      </c>
      <c r="Q201" s="68" t="inlineStr">
        <is>
          <t>Load test confirms stateless scaling; provider rate limits are respected with backpressure, not message loss</t>
        </is>
      </c>
      <c r="R201" s="68" t="inlineStr">
        <is>
          <t>Not started</t>
        </is>
      </c>
      <c r="S201" s="68" t="n"/>
    </row>
    <row r="202" ht="23.85" customHeight="1" s="51">
      <c r="A202" s="62" t="inlineStr">
        <is>
          <t>NB-201</t>
        </is>
      </c>
      <c r="B202" s="62" t="inlineStr">
        <is>
          <t>E18 Patient WhatsApp Surface</t>
        </is>
      </c>
      <c r="C202" s="62" t="inlineStr">
        <is>
          <t>Patient</t>
        </is>
      </c>
      <c r="D202" s="62" t="inlineStr">
        <is>
          <t>WhatsApp zero-form registration</t>
        </is>
      </c>
      <c r="E202" s="62" t="inlineStr">
        <is>
          <t>A patient registers entirely in chat with no form to fill.</t>
        </is>
      </c>
      <c r="F202" s="62" t="inlineStr">
        <is>
          <t>PAT-01</t>
        </is>
      </c>
      <c r="G202" s="62" t="inlineStr">
        <is>
          <t>Patient</t>
        </is>
      </c>
      <c r="H202" s="62" t="inlineStr">
        <is>
          <t>Patient</t>
        </is>
      </c>
      <c r="I202" s="62" t="inlineStr">
        <is>
          <t>Fullstack</t>
        </is>
      </c>
      <c r="J202" s="66" t="inlineStr">
        <is>
          <t>Must</t>
        </is>
      </c>
      <c r="K202" s="66" t="inlineStr">
        <is>
          <t>MVP</t>
        </is>
      </c>
      <c r="L202" s="66" t="n">
        <v>8</v>
      </c>
      <c r="M202" s="66" t="n">
        <v>13</v>
      </c>
      <c r="N202" s="62">
        <f>IF(M202&lt;=4,"R1 Foundation",IF(M202&lt;=8,"R2 Core Clinic",IF(M202&lt;=13,"R3 Revenue &amp; Messaging",IF(M202&lt;=18,"R4 Patient &amp; Platform",IF(M202&lt;=20,"R5 Harden","R6 Launch")))))</f>
        <v/>
      </c>
      <c r="O202" s="67">
        <f>L202*README!$B$32</f>
        <v/>
      </c>
      <c r="P202" s="62" t="inlineStr">
        <is>
          <t>NB-197, NB-071</t>
        </is>
      </c>
      <c r="Q202" s="62" t="inlineStr">
        <is>
          <t>Registration completes in chat with no web form and no app install</t>
        </is>
      </c>
      <c r="R202" s="62" t="inlineStr">
        <is>
          <t>Not started</t>
        </is>
      </c>
      <c r="S202" s="62" t="n"/>
    </row>
    <row r="203" ht="23.85" customHeight="1" s="51">
      <c r="A203" s="68" t="inlineStr">
        <is>
          <t>NB-202</t>
        </is>
      </c>
      <c r="B203" s="68" t="inlineStr">
        <is>
          <t>E18 Patient WhatsApp Surface</t>
        </is>
      </c>
      <c r="C203" s="68" t="inlineStr">
        <is>
          <t>Patient</t>
        </is>
      </c>
      <c r="D203" s="68" t="inlineStr">
        <is>
          <t>Guided booking within a six-tap budget</t>
        </is>
      </c>
      <c r="E203" s="68" t="inlineStr">
        <is>
          <t>The booking journey is explicitly tap-budgeted.</t>
        </is>
      </c>
      <c r="F203" s="68" t="inlineStr">
        <is>
          <t>PAT-03</t>
        </is>
      </c>
      <c r="G203" s="68" t="inlineStr">
        <is>
          <t>Patient</t>
        </is>
      </c>
      <c r="H203" s="68" t="inlineStr">
        <is>
          <t>Patient</t>
        </is>
      </c>
      <c r="I203" s="68" t="inlineStr">
        <is>
          <t>Fullstack</t>
        </is>
      </c>
      <c r="J203" s="69" t="inlineStr">
        <is>
          <t>Must</t>
        </is>
      </c>
      <c r="K203" s="69" t="inlineStr">
        <is>
          <t>MVP</t>
        </is>
      </c>
      <c r="L203" s="69" t="n">
        <v>13</v>
      </c>
      <c r="M203" s="69" t="n">
        <v>14</v>
      </c>
      <c r="N203" s="68">
        <f>IF(M203&lt;=4,"R1 Foundation",IF(M203&lt;=8,"R2 Core Clinic",IF(M203&lt;=13,"R3 Revenue &amp; Messaging",IF(M203&lt;=18,"R4 Patient &amp; Platform",IF(M203&lt;=20,"R5 Harden","R6 Launch")))))</f>
        <v/>
      </c>
      <c r="O203" s="70">
        <f>L203*README!$B$32</f>
        <v/>
      </c>
      <c r="P203" s="68" t="inlineStr">
        <is>
          <t>NB-201, NB-090</t>
        </is>
      </c>
      <c r="Q203" s="68" t="inlineStr">
        <is>
          <t>Booking completes within the stated tap budget on a single-member number</t>
        </is>
      </c>
      <c r="R203" s="68" t="inlineStr">
        <is>
          <t>Not started</t>
        </is>
      </c>
      <c r="S203" s="68" t="n"/>
    </row>
    <row r="204" ht="23.85" customHeight="1" s="51">
      <c r="A204" s="62" t="inlineStr">
        <is>
          <t>NB-203</t>
        </is>
      </c>
      <c r="B204" s="62" t="inlineStr">
        <is>
          <t>E18 Patient WhatsApp Surface</t>
        </is>
      </c>
      <c r="C204" s="62" t="inlineStr">
        <is>
          <t>Patient</t>
        </is>
      </c>
      <c r="D204" s="62" t="inlineStr">
        <is>
          <t>Layered reminders with confirmation cascade</t>
        </is>
      </c>
      <c r="E204" s="62" t="inlineStr">
        <is>
          <t>Staged reminders that escalate only when unconfirmed.</t>
        </is>
      </c>
      <c r="F204" s="62" t="inlineStr">
        <is>
          <t>PAT-04</t>
        </is>
      </c>
      <c r="G204" s="62" t="inlineStr">
        <is>
          <t>Patient</t>
        </is>
      </c>
      <c r="H204" s="62" t="inlineStr">
        <is>
          <t>Patient</t>
        </is>
      </c>
      <c r="I204" s="62" t="inlineStr">
        <is>
          <t>Fullstack</t>
        </is>
      </c>
      <c r="J204" s="66" t="inlineStr">
        <is>
          <t>Must</t>
        </is>
      </c>
      <c r="K204" s="66" t="inlineStr">
        <is>
          <t>MVP</t>
        </is>
      </c>
      <c r="L204" s="66" t="n">
        <v>8</v>
      </c>
      <c r="M204" s="66" t="n">
        <v>14</v>
      </c>
      <c r="N204" s="62">
        <f>IF(M204&lt;=4,"R1 Foundation",IF(M204&lt;=8,"R2 Core Clinic",IF(M204&lt;=13,"R3 Revenue &amp; Messaging",IF(M204&lt;=18,"R4 Patient &amp; Platform",IF(M204&lt;=20,"R5 Harden","R6 Launch")))))</f>
        <v/>
      </c>
      <c r="O204" s="67">
        <f>L204*README!$B$32</f>
        <v/>
      </c>
      <c r="P204" s="62" t="inlineStr">
        <is>
          <t>NB-202, NB-196</t>
        </is>
      </c>
      <c r="Q204" s="62" t="inlineStr">
        <is>
          <t>Confirmation stops the cascade immediately; no duplicate reminder is sent</t>
        </is>
      </c>
      <c r="R204" s="62" t="inlineStr">
        <is>
          <t>Not started</t>
        </is>
      </c>
      <c r="S204" s="62" t="n"/>
    </row>
    <row r="205" ht="23.85" customHeight="1" s="51">
      <c r="A205" s="68" t="inlineStr">
        <is>
          <t>NB-204</t>
        </is>
      </c>
      <c r="B205" s="68" t="inlineStr">
        <is>
          <t>E18 Patient WhatsApp Surface</t>
        </is>
      </c>
      <c r="C205" s="68" t="inlineStr">
        <is>
          <t>Patient</t>
        </is>
      </c>
      <c r="D205" s="68" t="inlineStr">
        <is>
          <t>Live queue &amp; your-turn tracking</t>
        </is>
      </c>
      <c r="E205" s="68" t="inlineStr">
        <is>
          <t>The patient follows their position and estimated turn from chat.</t>
        </is>
      </c>
      <c r="F205" s="68" t="inlineStr">
        <is>
          <t>PAT-05</t>
        </is>
      </c>
      <c r="G205" s="68" t="inlineStr">
        <is>
          <t>Patient</t>
        </is>
      </c>
      <c r="H205" s="68" t="inlineStr">
        <is>
          <t>Patient</t>
        </is>
      </c>
      <c r="I205" s="68" t="inlineStr">
        <is>
          <t>Fullstack</t>
        </is>
      </c>
      <c r="J205" s="69" t="inlineStr">
        <is>
          <t>Must</t>
        </is>
      </c>
      <c r="K205" s="69" t="inlineStr">
        <is>
          <t>MVP</t>
        </is>
      </c>
      <c r="L205" s="69" t="n">
        <v>8</v>
      </c>
      <c r="M205" s="69" t="n">
        <v>15</v>
      </c>
      <c r="N205" s="68">
        <f>IF(M205&lt;=4,"R1 Foundation",IF(M205&lt;=8,"R2 Core Clinic",IF(M205&lt;=13,"R3 Revenue &amp; Messaging",IF(M205&lt;=18,"R4 Patient &amp; Platform",IF(M205&lt;=20,"R5 Harden","R6 Launch")))))</f>
        <v/>
      </c>
      <c r="O205" s="70">
        <f>L205*README!$B$32</f>
        <v/>
      </c>
      <c r="P205" s="68" t="inlineStr">
        <is>
          <t>NB-202, NB-096</t>
        </is>
      </c>
      <c r="Q205" s="68" t="inlineStr">
        <is>
          <t>Position updates track the clinic queue within the sync budget</t>
        </is>
      </c>
      <c r="R205" s="68" t="inlineStr">
        <is>
          <t>Not started</t>
        </is>
      </c>
      <c r="S205" s="68" t="n"/>
    </row>
    <row r="206" ht="23.85" customHeight="1" s="51">
      <c r="A206" s="62" t="inlineStr">
        <is>
          <t>NB-205</t>
        </is>
      </c>
      <c r="B206" s="62" t="inlineStr">
        <is>
          <t>E18 Patient WhatsApp Surface</t>
        </is>
      </c>
      <c r="C206" s="62" t="inlineStr">
        <is>
          <t>Patient</t>
        </is>
      </c>
      <c r="D206" s="62" t="inlineStr">
        <is>
          <t>Cancel with one-tap reason</t>
        </is>
      </c>
      <c r="E206" s="62" t="inlineStr">
        <is>
          <t>Cancellation captures a reason from the shared reason list in one tap.</t>
        </is>
      </c>
      <c r="F206" s="62" t="inlineStr">
        <is>
          <t>PAT-06,SYS-07</t>
        </is>
      </c>
      <c r="G206" s="62" t="inlineStr">
        <is>
          <t>Patient</t>
        </is>
      </c>
      <c r="H206" s="62" t="inlineStr">
        <is>
          <t>Patient</t>
        </is>
      </c>
      <c r="I206" s="62" t="inlineStr">
        <is>
          <t>Fullstack</t>
        </is>
      </c>
      <c r="J206" s="66" t="inlineStr">
        <is>
          <t>Must</t>
        </is>
      </c>
      <c r="K206" s="66" t="inlineStr">
        <is>
          <t>MVP</t>
        </is>
      </c>
      <c r="L206" s="66" t="n">
        <v>5</v>
      </c>
      <c r="M206" s="66" t="n">
        <v>15</v>
      </c>
      <c r="N206" s="62">
        <f>IF(M206&lt;=4,"R1 Foundation",IF(M206&lt;=8,"R2 Core Clinic",IF(M206&lt;=13,"R3 Revenue &amp; Messaging",IF(M206&lt;=18,"R4 Patient &amp; Platform",IF(M206&lt;=20,"R5 Harden","R6 Launch")))))</f>
        <v/>
      </c>
      <c r="O206" s="67">
        <f>L206*README!$B$32</f>
        <v/>
      </c>
      <c r="P206" s="62" t="inlineStr">
        <is>
          <t>NB-202, NB-011</t>
        </is>
      </c>
      <c r="Q206" s="62" t="inlineStr">
        <is>
          <t>Reason captured in one tap; the slot releases immediately</t>
        </is>
      </c>
      <c r="R206" s="62" t="inlineStr">
        <is>
          <t>Not started</t>
        </is>
      </c>
      <c r="S206" s="62" t="n"/>
    </row>
    <row r="207" ht="23.85" customHeight="1" s="51">
      <c r="A207" s="68" t="inlineStr">
        <is>
          <t>NB-206</t>
        </is>
      </c>
      <c r="B207" s="68" t="inlineStr">
        <is>
          <t>E18 Patient WhatsApp Surface</t>
        </is>
      </c>
      <c r="C207" s="68" t="inlineStr">
        <is>
          <t>Patient</t>
        </is>
      </c>
      <c r="D207" s="68" t="inlineStr">
        <is>
          <t>One-tap reschedule</t>
        </is>
      </c>
      <c r="E207" s="68" t="inlineStr">
        <is>
          <t>Rescheduling without leaving the conversation.</t>
        </is>
      </c>
      <c r="F207" s="68" t="inlineStr">
        <is>
          <t>PAT-08</t>
        </is>
      </c>
      <c r="G207" s="68" t="inlineStr">
        <is>
          <t>Patient</t>
        </is>
      </c>
      <c r="H207" s="68" t="inlineStr">
        <is>
          <t>Patient</t>
        </is>
      </c>
      <c r="I207" s="68" t="inlineStr">
        <is>
          <t>Fullstack</t>
        </is>
      </c>
      <c r="J207" s="69" t="inlineStr">
        <is>
          <t>Must</t>
        </is>
      </c>
      <c r="K207" s="69" t="inlineStr">
        <is>
          <t>MVP</t>
        </is>
      </c>
      <c r="L207" s="69" t="n">
        <v>5</v>
      </c>
      <c r="M207" s="69" t="n">
        <v>15</v>
      </c>
      <c r="N207" s="68">
        <f>IF(M207&lt;=4,"R1 Foundation",IF(M207&lt;=8,"R2 Core Clinic",IF(M207&lt;=13,"R3 Revenue &amp; Messaging",IF(M207&lt;=18,"R4 Patient &amp; Platform",IF(M207&lt;=20,"R5 Harden","R6 Launch")))))</f>
        <v/>
      </c>
      <c r="O207" s="70">
        <f>L207*README!$B$32</f>
        <v/>
      </c>
      <c r="P207" s="68" t="inlineStr">
        <is>
          <t>NB-202</t>
        </is>
      </c>
      <c r="Q207" s="68" t="inlineStr">
        <is>
          <t>Reschedule respects the same availability rules as reception booking</t>
        </is>
      </c>
      <c r="R207" s="68" t="inlineStr">
        <is>
          <t>Not started</t>
        </is>
      </c>
      <c r="S207" s="68" t="n"/>
    </row>
    <row r="208" ht="23.85" customHeight="1" s="51">
      <c r="A208" s="62" t="inlineStr">
        <is>
          <t>NB-207</t>
        </is>
      </c>
      <c r="B208" s="62" t="inlineStr">
        <is>
          <t>E18 Patient WhatsApp Surface</t>
        </is>
      </c>
      <c r="C208" s="62" t="inlineStr">
        <is>
          <t>Patient</t>
        </is>
      </c>
      <c r="D208" s="62" t="inlineStr">
        <is>
          <t>Arrival check-in — QR or in-chat</t>
        </is>
      </c>
      <c r="E208" s="62" t="inlineStr">
        <is>
          <t>The patient checks in by scanning at the desk or from the conversation.</t>
        </is>
      </c>
      <c r="F208" s="62" t="inlineStr">
        <is>
          <t>PAT-09</t>
        </is>
      </c>
      <c r="G208" s="62" t="inlineStr">
        <is>
          <t>Patient</t>
        </is>
      </c>
      <c r="H208" s="62" t="inlineStr">
        <is>
          <t>Patient</t>
        </is>
      </c>
      <c r="I208" s="62" t="inlineStr">
        <is>
          <t>Fullstack</t>
        </is>
      </c>
      <c r="J208" s="66" t="inlineStr">
        <is>
          <t>Must</t>
        </is>
      </c>
      <c r="K208" s="66" t="inlineStr">
        <is>
          <t>MVP</t>
        </is>
      </c>
      <c r="L208" s="66" t="n">
        <v>5</v>
      </c>
      <c r="M208" s="66" t="n">
        <v>16</v>
      </c>
      <c r="N208" s="62">
        <f>IF(M208&lt;=4,"R1 Foundation",IF(M208&lt;=8,"R2 Core Clinic",IF(M208&lt;=13,"R3 Revenue &amp; Messaging",IF(M208&lt;=18,"R4 Patient &amp; Platform",IF(M208&lt;=20,"R5 Harden","R6 Launch")))))</f>
        <v/>
      </c>
      <c r="O208" s="67">
        <f>L208*README!$B$32</f>
        <v/>
      </c>
      <c r="P208" s="62" t="inlineStr">
        <is>
          <t>NB-202, NB-094</t>
        </is>
      </c>
      <c r="Q208" s="62" t="inlineStr">
        <is>
          <t>Both paths produce the same queue state transition</t>
        </is>
      </c>
      <c r="R208" s="62" t="inlineStr">
        <is>
          <t>Not started</t>
        </is>
      </c>
      <c r="S208" s="62" t="n"/>
    </row>
    <row r="209" ht="23.85" customHeight="1" s="51">
      <c r="A209" s="68" t="inlineStr">
        <is>
          <t>NB-208</t>
        </is>
      </c>
      <c r="B209" s="68" t="inlineStr">
        <is>
          <t>E18 Patient WhatsApp Surface</t>
        </is>
      </c>
      <c r="C209" s="68" t="inlineStr">
        <is>
          <t>Patient</t>
        </is>
      </c>
      <c r="D209" s="68" t="inlineStr">
        <is>
          <t>Waitlist join &amp; auto-fill offer acceptance</t>
        </is>
      </c>
      <c r="E209" s="68" t="inlineStr">
        <is>
          <t>The patient joins a waitlist and accepts a freed slot within the offer window.</t>
        </is>
      </c>
      <c r="F209" s="68" t="inlineStr">
        <is>
          <t>PAT-07</t>
        </is>
      </c>
      <c r="G209" s="68" t="inlineStr">
        <is>
          <t>Patient</t>
        </is>
      </c>
      <c r="H209" s="68" t="inlineStr">
        <is>
          <t>Patient</t>
        </is>
      </c>
      <c r="I209" s="68" t="inlineStr">
        <is>
          <t>Fullstack</t>
        </is>
      </c>
      <c r="J209" s="69" t="inlineStr">
        <is>
          <t>Should</t>
        </is>
      </c>
      <c r="K209" s="69" t="inlineStr">
        <is>
          <t>MVP</t>
        </is>
      </c>
      <c r="L209" s="69" t="n">
        <v>5</v>
      </c>
      <c r="M209" s="69" t="n">
        <v>16</v>
      </c>
      <c r="N209" s="68">
        <f>IF(M209&lt;=4,"R1 Foundation",IF(M209&lt;=8,"R2 Core Clinic",IF(M209&lt;=13,"R3 Revenue &amp; Messaging",IF(M209&lt;=18,"R4 Patient &amp; Platform",IF(M209&lt;=20,"R5 Harden","R6 Launch")))))</f>
        <v/>
      </c>
      <c r="O209" s="70">
        <f>L209*README!$B$32</f>
        <v/>
      </c>
      <c r="P209" s="68" t="inlineStr">
        <is>
          <t>NB-099, NB-202</t>
        </is>
      </c>
      <c r="Q209" s="68" t="inlineStr">
        <is>
          <t>Offer acceptance after expiry is refused cleanly</t>
        </is>
      </c>
      <c r="R209" s="68" t="inlineStr">
        <is>
          <t>Not started</t>
        </is>
      </c>
      <c r="S209" s="68" t="n"/>
    </row>
    <row r="210" ht="23.85" customHeight="1" s="51">
      <c r="A210" s="62" t="inlineStr">
        <is>
          <t>NB-209</t>
        </is>
      </c>
      <c r="B210" s="62" t="inlineStr">
        <is>
          <t>E18 Patient WhatsApp Surface</t>
        </is>
      </c>
      <c r="C210" s="62" t="inlineStr">
        <is>
          <t>Patient</t>
        </is>
      </c>
      <c r="D210" s="62" t="inlineStr">
        <is>
          <t>Payments, deposits &amp; refunds in chat</t>
        </is>
      </c>
      <c r="E210" s="62" t="inlineStr">
        <is>
          <t>In-conversation payment, deposit and refund handling.</t>
        </is>
      </c>
      <c r="F210" s="62" t="inlineStr">
        <is>
          <t>PAT-10</t>
        </is>
      </c>
      <c r="G210" s="62" t="inlineStr">
        <is>
          <t>Patient</t>
        </is>
      </c>
      <c r="H210" s="62" t="inlineStr">
        <is>
          <t>Patient</t>
        </is>
      </c>
      <c r="I210" s="62" t="inlineStr">
        <is>
          <t>Fullstack</t>
        </is>
      </c>
      <c r="J210" s="66" t="inlineStr">
        <is>
          <t>Must</t>
        </is>
      </c>
      <c r="K210" s="66" t="inlineStr">
        <is>
          <t>MVP</t>
        </is>
      </c>
      <c r="L210" s="66" t="n">
        <v>8</v>
      </c>
      <c r="M210" s="66" t="n">
        <v>16</v>
      </c>
      <c r="N210" s="62">
        <f>IF(M210&lt;=4,"R1 Foundation",IF(M210&lt;=8,"R2 Core Clinic",IF(M210&lt;=13,"R3 Revenue &amp; Messaging",IF(M210&lt;=18,"R4 Patient &amp; Platform",IF(M210&lt;=20,"R5 Harden","R6 Launch")))))</f>
        <v/>
      </c>
      <c r="O210" s="67">
        <f>L210*README!$B$32</f>
        <v/>
      </c>
      <c r="P210" s="62" t="inlineStr">
        <is>
          <t>NB-168, NB-197</t>
        </is>
      </c>
      <c r="Q210" s="62" t="inlineStr">
        <is>
          <t>Payment in chat reconciles to the same invoice as a desk payment</t>
        </is>
      </c>
      <c r="R210" s="62" t="inlineStr">
        <is>
          <t>Not started</t>
        </is>
      </c>
      <c r="S210" s="62" t="n"/>
    </row>
    <row r="211" ht="23.85" customHeight="1" s="51">
      <c r="A211" s="68" t="inlineStr">
        <is>
          <t>NB-210</t>
        </is>
      </c>
      <c r="B211" s="68" t="inlineStr">
        <is>
          <t>E18 Patient WhatsApp Surface</t>
        </is>
      </c>
      <c r="C211" s="68" t="inlineStr">
        <is>
          <t>Patient</t>
        </is>
      </c>
      <c r="D211" s="68" t="inlineStr">
        <is>
          <t>Buy a package in WhatsApp</t>
        </is>
      </c>
      <c r="E211" s="68" t="inlineStr">
        <is>
          <t>Package purchase completed in conversation, with the tax-correct invoice delivered in-thread.</t>
        </is>
      </c>
      <c r="F211" s="68" t="inlineStr">
        <is>
          <t>PAT-21,PKG-04,SYS-09</t>
        </is>
      </c>
      <c r="G211" s="68" t="inlineStr">
        <is>
          <t>Patient</t>
        </is>
      </c>
      <c r="H211" s="68" t="inlineStr">
        <is>
          <t>Patient</t>
        </is>
      </c>
      <c r="I211" s="68" t="inlineStr">
        <is>
          <t>Fullstack</t>
        </is>
      </c>
      <c r="J211" s="69" t="inlineStr">
        <is>
          <t>Should</t>
        </is>
      </c>
      <c r="K211" s="69" t="inlineStr">
        <is>
          <t>Phase 2</t>
        </is>
      </c>
      <c r="L211" s="69" t="n">
        <v>8</v>
      </c>
      <c r="M211" s="69" t="n">
        <v>18</v>
      </c>
      <c r="N211" s="68">
        <f>IF(M211&lt;=4,"R1 Foundation",IF(M211&lt;=8,"R2 Core Clinic",IF(M211&lt;=13,"R3 Revenue &amp; Messaging",IF(M211&lt;=18,"R4 Patient &amp; Platform",IF(M211&lt;=20,"R5 Harden","R6 Launch")))))</f>
        <v/>
      </c>
      <c r="O211" s="70">
        <f>L211*README!$B$32</f>
        <v/>
      </c>
      <c r="P211" s="68" t="inlineStr">
        <is>
          <t>NB-209, NB-152</t>
        </is>
      </c>
      <c r="Q211" s="68" t="inlineStr">
        <is>
          <t>GST or ZATCA invoice delivered in-thread with the correct refund-policy text</t>
        </is>
      </c>
      <c r="R211" s="68" t="inlineStr">
        <is>
          <t>Not started</t>
        </is>
      </c>
      <c r="S211" s="68" t="n"/>
    </row>
    <row r="212" ht="15" customHeight="1" s="51">
      <c r="A212" s="62" t="inlineStr">
        <is>
          <t>NB-211</t>
        </is>
      </c>
      <c r="B212" s="62" t="inlineStr">
        <is>
          <t>E18 Patient WhatsApp Surface</t>
        </is>
      </c>
      <c r="C212" s="62" t="inlineStr">
        <is>
          <t>Patient</t>
        </is>
      </c>
      <c r="D212" s="62" t="inlineStr">
        <is>
          <t>Package session tracking for the patient</t>
        </is>
      </c>
      <c r="E212" s="62" t="inlineStr">
        <is>
          <t>Remaining sessions, validity and next appointment visible in chat.</t>
        </is>
      </c>
      <c r="F212" s="62" t="inlineStr">
        <is>
          <t>PAT-22,PKG-12</t>
        </is>
      </c>
      <c r="G212" s="62" t="inlineStr">
        <is>
          <t>Patient</t>
        </is>
      </c>
      <c r="H212" s="62" t="inlineStr">
        <is>
          <t>Patient</t>
        </is>
      </c>
      <c r="I212" s="62" t="inlineStr">
        <is>
          <t>Fullstack</t>
        </is>
      </c>
      <c r="J212" s="66" t="inlineStr">
        <is>
          <t>Should</t>
        </is>
      </c>
      <c r="K212" s="66" t="inlineStr">
        <is>
          <t>MVP</t>
        </is>
      </c>
      <c r="L212" s="66" t="n">
        <v>5</v>
      </c>
      <c r="M212" s="66" t="n">
        <v>17</v>
      </c>
      <c r="N212" s="62">
        <f>IF(M212&lt;=4,"R1 Foundation",IF(M212&lt;=8,"R2 Core Clinic",IF(M212&lt;=13,"R3 Revenue &amp; Messaging",IF(M212&lt;=18,"R4 Patient &amp; Platform",IF(M212&lt;=20,"R5 Harden","R6 Launch")))))</f>
        <v/>
      </c>
      <c r="O212" s="67">
        <f>L212*README!$B$32</f>
        <v/>
      </c>
      <c r="P212" s="62" t="inlineStr">
        <is>
          <t>NB-153, NB-201</t>
        </is>
      </c>
      <c r="Q212" s="62" t="inlineStr">
        <is>
          <t>Counts match the clinic-side ledger exactly</t>
        </is>
      </c>
      <c r="R212" s="62" t="inlineStr">
        <is>
          <t>Not started</t>
        </is>
      </c>
      <c r="S212" s="62" t="n"/>
    </row>
    <row r="213" ht="23.85" customHeight="1" s="51">
      <c r="A213" s="68" t="inlineStr">
        <is>
          <t>NB-212</t>
        </is>
      </c>
      <c r="B213" s="68" t="inlineStr">
        <is>
          <t>E18 Patient WhatsApp Surface</t>
        </is>
      </c>
      <c r="C213" s="68" t="inlineStr">
        <is>
          <t>Patient</t>
        </is>
      </c>
      <c r="D213" s="68" t="inlineStr">
        <is>
          <t>Post-visit follow-up check-ins</t>
        </is>
      </c>
      <c r="E213" s="68" t="inlineStr">
        <is>
          <t>A day-after check-in that routes an unwell reply to the clinic.</t>
        </is>
      </c>
      <c r="F213" s="68" t="inlineStr">
        <is>
          <t>PAT-11</t>
        </is>
      </c>
      <c r="G213" s="68" t="inlineStr">
        <is>
          <t>Patient</t>
        </is>
      </c>
      <c r="H213" s="68" t="inlineStr">
        <is>
          <t>Patient</t>
        </is>
      </c>
      <c r="I213" s="68" t="inlineStr">
        <is>
          <t>Fullstack</t>
        </is>
      </c>
      <c r="J213" s="69" t="inlineStr">
        <is>
          <t>Should</t>
        </is>
      </c>
      <c r="K213" s="69" t="inlineStr">
        <is>
          <t>MVP</t>
        </is>
      </c>
      <c r="L213" s="69" t="n">
        <v>5</v>
      </c>
      <c r="M213" s="69" t="n">
        <v>17</v>
      </c>
      <c r="N213" s="68">
        <f>IF(M213&lt;=4,"R1 Foundation",IF(M213&lt;=8,"R2 Core Clinic",IF(M213&lt;=13,"R3 Revenue &amp; Messaging",IF(M213&lt;=18,"R4 Patient &amp; Platform",IF(M213&lt;=20,"R5 Harden","R6 Launch")))))</f>
        <v/>
      </c>
      <c r="O213" s="70">
        <f>L213*README!$B$32</f>
        <v/>
      </c>
      <c r="P213" s="68" t="inlineStr">
        <is>
          <t>NB-144, NB-196</t>
        </is>
      </c>
      <c r="Q213" s="68" t="inlineStr">
        <is>
          <t>A not-well reply escalates to the clinical triage inbox, not reception</t>
        </is>
      </c>
      <c r="R213" s="68" t="inlineStr">
        <is>
          <t>Not started</t>
        </is>
      </c>
      <c r="S213" s="68" t="n"/>
    </row>
    <row r="214" ht="23.85" customHeight="1" s="51">
      <c r="A214" s="62" t="inlineStr">
        <is>
          <t>NB-213</t>
        </is>
      </c>
      <c r="B214" s="62" t="inlineStr">
        <is>
          <t>E18 Patient WhatsApp Surface</t>
        </is>
      </c>
      <c r="C214" s="62" t="inlineStr">
        <is>
          <t>Patient</t>
        </is>
      </c>
      <c r="D214" s="62" t="inlineStr">
        <is>
          <t>Receive prescriptions &amp; reports securely</t>
        </is>
      </c>
      <c r="E214" s="62" t="inlineStr">
        <is>
          <t>Documents delivered as expiring links, never posted inline.</t>
        </is>
      </c>
      <c r="F214" s="62" t="inlineStr">
        <is>
          <t>PAT-13,SYS-18</t>
        </is>
      </c>
      <c r="G214" s="62" t="inlineStr">
        <is>
          <t>Patient</t>
        </is>
      </c>
      <c r="H214" s="62" t="inlineStr">
        <is>
          <t>Patient</t>
        </is>
      </c>
      <c r="I214" s="62" t="inlineStr">
        <is>
          <t>Fullstack</t>
        </is>
      </c>
      <c r="J214" s="66" t="inlineStr">
        <is>
          <t>Must</t>
        </is>
      </c>
      <c r="K214" s="66" t="inlineStr">
        <is>
          <t>MVP</t>
        </is>
      </c>
      <c r="L214" s="66" t="n">
        <v>5</v>
      </c>
      <c r="M214" s="66" t="n">
        <v>17</v>
      </c>
      <c r="N214" s="62">
        <f>IF(M214&lt;=4,"R1 Foundation",IF(M214&lt;=8,"R2 Core Clinic",IF(M214&lt;=13,"R3 Revenue &amp; Messaging",IF(M214&lt;=18,"R4 Patient &amp; Platform",IF(M214&lt;=20,"R5 Harden","R6 Launch")))))</f>
        <v/>
      </c>
      <c r="O214" s="67">
        <f>L214*README!$B$32</f>
        <v/>
      </c>
      <c r="P214" s="62" t="inlineStr">
        <is>
          <t>NB-076, NB-201</t>
        </is>
      </c>
      <c r="Q214" s="62" t="inlineStr">
        <is>
          <t>No document is ever posted into open chat; every access is logged</t>
        </is>
      </c>
      <c r="R214" s="62" t="inlineStr">
        <is>
          <t>Not started</t>
        </is>
      </c>
      <c r="S214" s="62" t="n"/>
    </row>
    <row r="215" ht="23.85" customHeight="1" s="51">
      <c r="A215" s="68" t="inlineStr">
        <is>
          <t>NB-214</t>
        </is>
      </c>
      <c r="B215" s="68" t="inlineStr">
        <is>
          <t>E18 Patient WhatsApp Surface</t>
        </is>
      </c>
      <c r="C215" s="68" t="inlineStr">
        <is>
          <t>Patient</t>
        </is>
      </c>
      <c r="D215" s="68" t="inlineStr">
        <is>
          <t>My data &amp; privacy self-service</t>
        </is>
      </c>
      <c r="E215" s="68" t="inlineStr">
        <is>
          <t>The patient-facing privacy menu — request data, correct data, withdraw consent.</t>
        </is>
      </c>
      <c r="F215" s="68" t="inlineStr">
        <is>
          <t>PAT-14,CMP-03</t>
        </is>
      </c>
      <c r="G215" s="68" t="inlineStr">
        <is>
          <t>Patient</t>
        </is>
      </c>
      <c r="H215" s="68" t="inlineStr">
        <is>
          <t>Patient</t>
        </is>
      </c>
      <c r="I215" s="68" t="inlineStr">
        <is>
          <t>Fullstack</t>
        </is>
      </c>
      <c r="J215" s="69" t="inlineStr">
        <is>
          <t>Must</t>
        </is>
      </c>
      <c r="K215" s="69" t="inlineStr">
        <is>
          <t>MVP</t>
        </is>
      </c>
      <c r="L215" s="69" t="n">
        <v>8</v>
      </c>
      <c r="M215" s="69" t="n">
        <v>18</v>
      </c>
      <c r="N215" s="68">
        <f>IF(M215&lt;=4,"R1 Foundation",IF(M215&lt;=8,"R2 Core Clinic",IF(M215&lt;=13,"R3 Revenue &amp; Messaging",IF(M215&lt;=18,"R4 Patient &amp; Platform",IF(M215&lt;=20,"R5 Harden","R6 Launch")))))</f>
        <v/>
      </c>
      <c r="O215" s="70">
        <f>L215*README!$B$32</f>
        <v/>
      </c>
      <c r="P215" s="68" t="inlineStr">
        <is>
          <t>NB-243, NB-201</t>
        </is>
      </c>
      <c r="Q215" s="68" t="inlineStr">
        <is>
          <t>Requests raise a tracked case with the statutory timer; the menu itself gates Phase 2 items</t>
        </is>
      </c>
      <c r="R215" s="68" t="inlineStr">
        <is>
          <t>Not started</t>
        </is>
      </c>
      <c r="S215" s="68" t="n"/>
    </row>
    <row r="216" ht="23.85" customHeight="1" s="51">
      <c r="A216" s="62" t="inlineStr">
        <is>
          <t>NB-215</t>
        </is>
      </c>
      <c r="B216" s="62" t="inlineStr">
        <is>
          <t>E18 Patient WhatsApp Surface</t>
        </is>
      </c>
      <c r="C216" s="62" t="inlineStr">
        <is>
          <t>Patient</t>
        </is>
      </c>
      <c r="D216" s="62" t="inlineStr">
        <is>
          <t>Multilingual patient interaction</t>
        </is>
      </c>
      <c r="E216" s="62" t="inlineStr">
        <is>
          <t>English, Hindi, Hinglish, Tamil, Malayalam, Kannada, Bengali and Arabic in the patient channel.</t>
        </is>
      </c>
      <c r="F216" s="62" t="inlineStr">
        <is>
          <t>PAT-15</t>
        </is>
      </c>
      <c r="G216" s="62" t="inlineStr">
        <is>
          <t>Patient</t>
        </is>
      </c>
      <c r="H216" s="62" t="inlineStr">
        <is>
          <t>Patient</t>
        </is>
      </c>
      <c r="I216" s="62" t="inlineStr">
        <is>
          <t>Fullstack</t>
        </is>
      </c>
      <c r="J216" s="66" t="inlineStr">
        <is>
          <t>Must</t>
        </is>
      </c>
      <c r="K216" s="66" t="inlineStr">
        <is>
          <t>MVP</t>
        </is>
      </c>
      <c r="L216" s="66" t="n">
        <v>8</v>
      </c>
      <c r="M216" s="66" t="n">
        <v>17</v>
      </c>
      <c r="N216" s="62">
        <f>IF(M216&lt;=4,"R1 Foundation",IF(M216&lt;=8,"R2 Core Clinic",IF(M216&lt;=13,"R3 Revenue &amp; Messaging",IF(M216&lt;=18,"R4 Patient &amp; Platform",IF(M216&lt;=20,"R5 Harden","R6 Launch")))))</f>
        <v/>
      </c>
      <c r="O216" s="67">
        <f>L216*README!$B$32</f>
        <v/>
      </c>
      <c r="P216" s="62" t="inlineStr">
        <is>
          <t>NB-201, NB-030</t>
        </is>
      </c>
      <c r="Q216" s="62" t="inlineStr">
        <is>
          <t>Language switch persists per patient and applies to templates and free text</t>
        </is>
      </c>
      <c r="R216" s="62" t="inlineStr">
        <is>
          <t>Not started</t>
        </is>
      </c>
      <c r="S216" s="62" t="n"/>
    </row>
    <row r="217" ht="23.85" customHeight="1" s="51">
      <c r="A217" s="68" t="inlineStr">
        <is>
          <t>NB-216</t>
        </is>
      </c>
      <c r="B217" s="68" t="inlineStr">
        <is>
          <t>E18 Patient WhatsApp Surface</t>
        </is>
      </c>
      <c r="C217" s="68" t="inlineStr">
        <is>
          <t>Patient</t>
        </is>
      </c>
      <c r="D217" s="68" t="inlineStr">
        <is>
          <t>Treatment-linked recall in the patient channel</t>
        </is>
      </c>
      <c r="E217" s="68" t="inlineStr">
        <is>
          <t>Recall messages generated by the clinical recall engine reach the patient with the right timing.</t>
        </is>
      </c>
      <c r="F217" s="68" t="inlineStr">
        <is>
          <t>PAT-20</t>
        </is>
      </c>
      <c r="G217" s="68" t="inlineStr">
        <is>
          <t>Patient</t>
        </is>
      </c>
      <c r="H217" s="68" t="inlineStr">
        <is>
          <t>Patient</t>
        </is>
      </c>
      <c r="I217" s="68" t="inlineStr">
        <is>
          <t>Fullstack</t>
        </is>
      </c>
      <c r="J217" s="69" t="inlineStr">
        <is>
          <t>Must</t>
        </is>
      </c>
      <c r="K217" s="69" t="inlineStr">
        <is>
          <t>MVP</t>
        </is>
      </c>
      <c r="L217" s="69" t="n">
        <v>5</v>
      </c>
      <c r="M217" s="69" t="n">
        <v>18</v>
      </c>
      <c r="N217" s="68">
        <f>IF(M217&lt;=4,"R1 Foundation",IF(M217&lt;=8,"R2 Core Clinic",IF(M217&lt;=13,"R3 Revenue &amp; Messaging",IF(M217&lt;=18,"R4 Patient &amp; Platform",IF(M217&lt;=20,"R5 Harden","R6 Launch")))))</f>
        <v/>
      </c>
      <c r="O217" s="70">
        <f>L217*README!$B$32</f>
        <v/>
      </c>
      <c r="P217" s="68" t="inlineStr">
        <is>
          <t>NB-116, NB-196</t>
        </is>
      </c>
      <c r="Q217" s="68" t="inlineStr">
        <is>
          <t>Recall arrives on schedule and stops when the appointment is booked</t>
        </is>
      </c>
      <c r="R217" s="68" t="inlineStr">
        <is>
          <t>Not started</t>
        </is>
      </c>
      <c r="S217" s="68" t="n"/>
    </row>
    <row r="218" ht="23.85" customHeight="1" s="51">
      <c r="A218" s="62" t="inlineStr">
        <is>
          <t>NB-217</t>
        </is>
      </c>
      <c r="B218" s="62" t="inlineStr">
        <is>
          <t>E18 Patient WhatsApp Surface</t>
        </is>
      </c>
      <c r="C218" s="62" t="inlineStr">
        <is>
          <t>Patient</t>
        </is>
      </c>
      <c r="D218" s="62" t="inlineStr">
        <is>
          <t>Google-review prompt</t>
        </is>
      </c>
      <c r="E218" s="62" t="inlineStr">
        <is>
          <t>A post-visit review prompt that never gates or filters reviews.</t>
        </is>
      </c>
      <c r="F218" s="62" t="inlineStr">
        <is>
          <t>PAT-26,CEO-14</t>
        </is>
      </c>
      <c r="G218" s="62" t="inlineStr">
        <is>
          <t>Patient</t>
        </is>
      </c>
      <c r="H218" s="62" t="inlineStr">
        <is>
          <t>Patient</t>
        </is>
      </c>
      <c r="I218" s="62" t="inlineStr">
        <is>
          <t>Fullstack</t>
        </is>
      </c>
      <c r="J218" s="66" t="inlineStr">
        <is>
          <t>Should</t>
        </is>
      </c>
      <c r="K218" s="66" t="inlineStr">
        <is>
          <t>Phase 2</t>
        </is>
      </c>
      <c r="L218" s="66" t="n">
        <v>3</v>
      </c>
      <c r="M218" s="66" t="n">
        <v>19</v>
      </c>
      <c r="N218" s="62">
        <f>IF(M218&lt;=4,"R1 Foundation",IF(M218&lt;=8,"R2 Core Clinic",IF(M218&lt;=13,"R3 Revenue &amp; Messaging",IF(M218&lt;=18,"R4 Patient &amp; Platform",IF(M218&lt;=20,"R5 Harden","R6 Launch")))))</f>
        <v/>
      </c>
      <c r="O218" s="67">
        <f>L218*README!$B$32</f>
        <v/>
      </c>
      <c r="P218" s="62" t="inlineStr">
        <is>
          <t>NB-212</t>
        </is>
      </c>
      <c r="Q218" s="62" t="inlineStr">
        <is>
          <t>No filtering or gating logic exists; the prompt sends patients to Google ungated</t>
        </is>
      </c>
      <c r="R218" s="62" t="inlineStr">
        <is>
          <t>Not started</t>
        </is>
      </c>
      <c r="S218" s="62" t="n"/>
    </row>
    <row r="219" ht="23.85" customHeight="1" s="51">
      <c r="A219" s="68" t="inlineStr">
        <is>
          <t>NB-218</t>
        </is>
      </c>
      <c r="B219" s="68" t="inlineStr">
        <is>
          <t>E18 Patient WhatsApp Surface</t>
        </is>
      </c>
      <c r="C219" s="68" t="inlineStr">
        <is>
          <t>Patient</t>
        </is>
      </c>
      <c r="D219" s="68" t="inlineStr">
        <is>
          <t>Referral rewards</t>
        </is>
      </c>
      <c r="E219" s="68" t="inlineStr">
        <is>
          <t>Patient referral with reward tracking.</t>
        </is>
      </c>
      <c r="F219" s="68" t="inlineStr">
        <is>
          <t>PAT-25</t>
        </is>
      </c>
      <c r="G219" s="68" t="inlineStr">
        <is>
          <t>Patient</t>
        </is>
      </c>
      <c r="H219" s="68" t="inlineStr">
        <is>
          <t>Patient</t>
        </is>
      </c>
      <c r="I219" s="68" t="inlineStr">
        <is>
          <t>Fullstack</t>
        </is>
      </c>
      <c r="J219" s="69" t="inlineStr">
        <is>
          <t>Could</t>
        </is>
      </c>
      <c r="K219" s="69" t="inlineStr">
        <is>
          <t>Phase 2</t>
        </is>
      </c>
      <c r="L219" s="69" t="n">
        <v>5</v>
      </c>
      <c r="M219" s="69" t="n">
        <v>20</v>
      </c>
      <c r="N219" s="68">
        <f>IF(M219&lt;=4,"R1 Foundation",IF(M219&lt;=8,"R2 Core Clinic",IF(M219&lt;=13,"R3 Revenue &amp; Messaging",IF(M219&lt;=18,"R4 Patient &amp; Platform",IF(M219&lt;=20,"R5 Harden","R6 Launch")))))</f>
        <v/>
      </c>
      <c r="O219" s="70">
        <f>L219*README!$B$32</f>
        <v/>
      </c>
      <c r="P219" s="68" t="inlineStr">
        <is>
          <t>NB-201</t>
        </is>
      </c>
      <c r="Q219" s="68" t="inlineStr">
        <is>
          <t>Reward attribution is auditable and cannot be self-referred</t>
        </is>
      </c>
      <c r="R219" s="68" t="inlineStr">
        <is>
          <t>Not started</t>
        </is>
      </c>
      <c r="S219" s="68" t="n"/>
    </row>
    <row r="220" ht="23.85" customHeight="1" s="51">
      <c r="A220" s="62" t="inlineStr">
        <is>
          <t>NB-219</t>
        </is>
      </c>
      <c r="B220" s="62" t="inlineStr">
        <is>
          <t>E18 Patient WhatsApp Surface</t>
        </is>
      </c>
      <c r="C220" s="62" t="inlineStr">
        <is>
          <t>Patient</t>
        </is>
      </c>
      <c r="D220" s="62" t="inlineStr">
        <is>
          <t>Family &amp; chronic-care memberships</t>
        </is>
      </c>
      <c r="E220" s="62" t="inlineStr">
        <is>
          <t>A booking and check-in convenience plan, explicitly not a clinical care contract.</t>
        </is>
      </c>
      <c r="F220" s="62" t="inlineStr">
        <is>
          <t>PAT-24,CEO-15,CGV-10</t>
        </is>
      </c>
      <c r="G220" s="62" t="inlineStr">
        <is>
          <t>Patient</t>
        </is>
      </c>
      <c r="H220" s="62" t="inlineStr">
        <is>
          <t>Patient</t>
        </is>
      </c>
      <c r="I220" s="62" t="inlineStr">
        <is>
          <t>Fullstack</t>
        </is>
      </c>
      <c r="J220" s="66" t="inlineStr">
        <is>
          <t>Could</t>
        </is>
      </c>
      <c r="K220" s="66" t="inlineStr">
        <is>
          <t>Phase 3</t>
        </is>
      </c>
      <c r="L220" s="66" t="n">
        <v>8</v>
      </c>
      <c r="M220" s="66" t="n">
        <v>21</v>
      </c>
      <c r="N220" s="62">
        <f>IF(M220&lt;=4,"R1 Foundation",IF(M220&lt;=8,"R2 Core Clinic",IF(M220&lt;=13,"R3 Revenue &amp; Messaging",IF(M220&lt;=18,"R4 Patient &amp; Platform",IF(M220&lt;=20,"R5 Harden","R6 Launch")))))</f>
        <v/>
      </c>
      <c r="O220" s="67">
        <f>L220*README!$B$32</f>
        <v/>
      </c>
      <c r="P220" s="62" t="inlineStr">
        <is>
          <t>NB-088</t>
        </is>
      </c>
      <c r="Q220" s="62" t="inlineStr">
        <is>
          <t>Product copy never implies clinical care obligations; legal review sign-off obtained</t>
        </is>
      </c>
      <c r="R220" s="62" t="inlineStr">
        <is>
          <t>Not started</t>
        </is>
      </c>
      <c r="S220" s="62" t="n"/>
    </row>
    <row r="221" ht="23.85" customHeight="1" s="51">
      <c r="A221" s="68" t="inlineStr">
        <is>
          <t>NB-220</t>
        </is>
      </c>
      <c r="B221" s="68" t="inlineStr">
        <is>
          <t>E18 Patient WhatsApp Surface</t>
        </is>
      </c>
      <c r="C221" s="68" t="inlineStr">
        <is>
          <t>Patient</t>
        </is>
      </c>
      <c r="D221" s="68" t="inlineStr">
        <is>
          <t>Teleconsultation booking &amp; join</t>
        </is>
      </c>
      <c r="E221" s="68" t="inlineStr">
        <is>
          <t>Booked as a visit type with a partner deep-link. Explicitly a Phase 3 partner integration.</t>
        </is>
      </c>
      <c r="F221" s="68" t="inlineStr">
        <is>
          <t>PAT-16</t>
        </is>
      </c>
      <c r="G221" s="68" t="inlineStr">
        <is>
          <t>Patient,Doctor</t>
        </is>
      </c>
      <c r="H221" s="68" t="inlineStr">
        <is>
          <t>Patient</t>
        </is>
      </c>
      <c r="I221" s="68" t="inlineStr">
        <is>
          <t>Integration</t>
        </is>
      </c>
      <c r="J221" s="69" t="inlineStr">
        <is>
          <t>Could</t>
        </is>
      </c>
      <c r="K221" s="69" t="inlineStr">
        <is>
          <t>Phase 3</t>
        </is>
      </c>
      <c r="L221" s="69" t="n">
        <v>8</v>
      </c>
      <c r="M221" s="69" t="n">
        <v>22</v>
      </c>
      <c r="N221" s="68">
        <f>IF(M221&lt;=4,"R1 Foundation",IF(M221&lt;=8,"R2 Core Clinic",IF(M221&lt;=13,"R3 Revenue &amp; Messaging",IF(M221&lt;=18,"R4 Patient &amp; Platform",IF(M221&lt;=20,"R5 Harden","R6 Launch")))))</f>
        <v/>
      </c>
      <c r="O221" s="70">
        <f>L221*README!$B$32</f>
        <v/>
      </c>
      <c r="P221" s="68" t="inlineStr">
        <is>
          <t>NB-202</t>
        </is>
      </c>
      <c r="Q221" s="68" t="inlineStr">
        <is>
          <t>Booked as a visit type; the join path is a partner deep-link, not a built video stack</t>
        </is>
      </c>
      <c r="R221" s="68" t="inlineStr">
        <is>
          <t>Not started</t>
        </is>
      </c>
      <c r="S221" s="68" t="n"/>
    </row>
    <row r="222" ht="23.85" customHeight="1" s="51">
      <c r="A222" s="62" t="inlineStr">
        <is>
          <t>NB-221</t>
        </is>
      </c>
      <c r="B222" s="62" t="inlineStr">
        <is>
          <t>E19 Aggregator &amp; Demand</t>
        </is>
      </c>
      <c r="C222" s="62" t="inlineStr">
        <is>
          <t>Aggregator</t>
        </is>
      </c>
      <c r="D222" s="62" t="inlineStr">
        <is>
          <t>Unified Nabd number &amp; invisible routing</t>
        </is>
      </c>
      <c r="E222" s="62" t="inlineStr">
        <is>
          <t>One shared number routes a patient to the right clinic without the patient choosing infrastructure.</t>
        </is>
      </c>
      <c r="F222" s="62" t="inlineStr">
        <is>
          <t>AGG-01</t>
        </is>
      </c>
      <c r="G222" s="62" t="inlineStr">
        <is>
          <t>Patient</t>
        </is>
      </c>
      <c r="H222" s="62" t="inlineStr">
        <is>
          <t>Patient</t>
        </is>
      </c>
      <c r="I222" s="62" t="inlineStr">
        <is>
          <t>Fullstack</t>
        </is>
      </c>
      <c r="J222" s="66" t="inlineStr">
        <is>
          <t>Should</t>
        </is>
      </c>
      <c r="K222" s="66" t="inlineStr">
        <is>
          <t>Phase 2</t>
        </is>
      </c>
      <c r="L222" s="66" t="n">
        <v>13</v>
      </c>
      <c r="M222" s="66" t="n">
        <v>18</v>
      </c>
      <c r="N222" s="62">
        <f>IF(M222&lt;=4,"R1 Foundation",IF(M222&lt;=8,"R2 Core Clinic",IF(M222&lt;=13,"R3 Revenue &amp; Messaging",IF(M222&lt;=18,"R4 Patient &amp; Platform",IF(M222&lt;=20,"R5 Harden","R6 Launch")))))</f>
        <v/>
      </c>
      <c r="O222" s="67">
        <f>L222*README!$B$32</f>
        <v/>
      </c>
      <c r="P222" s="62" t="inlineStr">
        <is>
          <t>NB-188, NB-202</t>
        </is>
      </c>
      <c r="Q222" s="62" t="inlineStr">
        <is>
          <t>A patient reaching the shared number lands with the right clinic without naming it</t>
        </is>
      </c>
      <c r="R222" s="62" t="inlineStr">
        <is>
          <t>Not started</t>
        </is>
      </c>
      <c r="S222" s="62" t="n"/>
    </row>
    <row r="223" ht="23.85" customHeight="1" s="51">
      <c r="A223" s="68" t="inlineStr">
        <is>
          <t>NB-222</t>
        </is>
      </c>
      <c r="B223" s="68" t="inlineStr">
        <is>
          <t>E19 Aggregator &amp; Demand</t>
        </is>
      </c>
      <c r="C223" s="68" t="inlineStr">
        <is>
          <t>Aggregator</t>
        </is>
      </c>
      <c r="D223" s="68" t="inlineStr">
        <is>
          <t>Emergency phrase interception</t>
        </is>
      </c>
      <c r="E223" s="68" t="inlineStr">
        <is>
          <t>Emergency phrases stop the flow and direct the patient to 108 (India) or 997 (KSA). No clinic is suggested.</t>
        </is>
      </c>
      <c r="F223" s="68" t="inlineStr">
        <is>
          <t>AGG-02,CEO-14</t>
        </is>
      </c>
      <c r="G223" s="68" t="inlineStr">
        <is>
          <t>Patient</t>
        </is>
      </c>
      <c r="H223" s="68" t="inlineStr">
        <is>
          <t>Patient</t>
        </is>
      </c>
      <c r="I223" s="68" t="inlineStr">
        <is>
          <t>Backend</t>
        </is>
      </c>
      <c r="J223" s="69" t="inlineStr">
        <is>
          <t>Must</t>
        </is>
      </c>
      <c r="K223" s="69" t="inlineStr">
        <is>
          <t>Phase 2</t>
        </is>
      </c>
      <c r="L223" s="69" t="n">
        <v>8</v>
      </c>
      <c r="M223" s="69" t="n">
        <v>18</v>
      </c>
      <c r="N223" s="68">
        <f>IF(M223&lt;=4,"R1 Foundation",IF(M223&lt;=8,"R2 Core Clinic",IF(M223&lt;=13,"R3 Revenue &amp; Messaging",IF(M223&lt;=18,"R4 Patient &amp; Platform",IF(M223&lt;=20,"R5 Harden","R6 Launch")))))</f>
        <v/>
      </c>
      <c r="O223" s="70">
        <f>L223*README!$B$32</f>
        <v/>
      </c>
      <c r="P223" s="68" t="inlineStr">
        <is>
          <t>NB-221</t>
        </is>
      </c>
      <c r="Q223" s="68" t="inlineStr">
        <is>
          <t>Emergency phrases in every supported language halt routing and show emergency guidance only</t>
        </is>
      </c>
      <c r="R223" s="68" t="inlineStr">
        <is>
          <t>Not started</t>
        </is>
      </c>
      <c r="S223" s="68" t="n"/>
    </row>
    <row r="224" ht="35.05" customHeight="1" s="51">
      <c r="A224" s="62" t="inlineStr">
        <is>
          <t>NB-223</t>
        </is>
      </c>
      <c r="B224" s="62" t="inlineStr">
        <is>
          <t>E19 Aggregator &amp; Demand</t>
        </is>
      </c>
      <c r="C224" s="62" t="inlineStr">
        <is>
          <t>Aggregator</t>
        </is>
      </c>
      <c r="D224" s="62" t="inlineStr">
        <is>
          <t>Word-to-specialty matching</t>
        </is>
      </c>
      <c r="E224" s="62" t="inlineStr">
        <is>
          <t>Keyword matching to a specialty only — no clinical interpretation and no triage. Unmatched requests go to the nearest clinic's reception.</t>
        </is>
      </c>
      <c r="F224" s="62" t="inlineStr">
        <is>
          <t>AGG-03</t>
        </is>
      </c>
      <c r="G224" s="62" t="inlineStr">
        <is>
          <t>Patient</t>
        </is>
      </c>
      <c r="H224" s="62" t="inlineStr">
        <is>
          <t>Patient</t>
        </is>
      </c>
      <c r="I224" s="62" t="inlineStr">
        <is>
          <t>Backend</t>
        </is>
      </c>
      <c r="J224" s="66" t="inlineStr">
        <is>
          <t>Should</t>
        </is>
      </c>
      <c r="K224" s="66" t="inlineStr">
        <is>
          <t>Phase 2</t>
        </is>
      </c>
      <c r="L224" s="66" t="n">
        <v>8</v>
      </c>
      <c r="M224" s="66" t="n">
        <v>19</v>
      </c>
      <c r="N224" s="62">
        <f>IF(M224&lt;=4,"R1 Foundation",IF(M224&lt;=8,"R2 Core Clinic",IF(M224&lt;=13,"R3 Revenue &amp; Messaging",IF(M224&lt;=18,"R4 Patient &amp; Platform",IF(M224&lt;=20,"R5 Harden","R6 Launch")))))</f>
        <v/>
      </c>
      <c r="O224" s="67">
        <f>L224*README!$B$32</f>
        <v/>
      </c>
      <c r="P224" s="62" t="inlineStr">
        <is>
          <t>NB-221, NB-222</t>
        </is>
      </c>
      <c r="Q224" s="62" t="inlineStr">
        <is>
          <t>No symptom interpretation occurs; unmatched input routes to reception rather than guessing</t>
        </is>
      </c>
      <c r="R224" s="62" t="inlineStr">
        <is>
          <t>Not started</t>
        </is>
      </c>
      <c r="S224" s="62" t="n"/>
    </row>
    <row r="225" ht="23.85" customHeight="1" s="51">
      <c r="A225" s="68" t="inlineStr">
        <is>
          <t>NB-224</t>
        </is>
      </c>
      <c r="B225" s="68" t="inlineStr">
        <is>
          <t>E19 Aggregator &amp; Demand</t>
        </is>
      </c>
      <c r="C225" s="68" t="inlineStr">
        <is>
          <t>Aggregator</t>
        </is>
      </c>
      <c r="D225" s="68" t="inlineStr">
        <is>
          <t>Clinic discovery, distance &amp; slot surfacing</t>
        </is>
      </c>
      <c r="E225" s="68" t="inlineStr">
        <is>
          <t>Nearby clinics with distance, next slot, price band, insurance and doctor-availability flags.</t>
        </is>
      </c>
      <c r="F225" s="68" t="inlineStr">
        <is>
          <t>AGG-01</t>
        </is>
      </c>
      <c r="G225" s="68" t="inlineStr">
        <is>
          <t>Patient</t>
        </is>
      </c>
      <c r="H225" s="68" t="inlineStr">
        <is>
          <t>Patient</t>
        </is>
      </c>
      <c r="I225" s="68" t="inlineStr">
        <is>
          <t>Fullstack</t>
        </is>
      </c>
      <c r="J225" s="69" t="inlineStr">
        <is>
          <t>Should</t>
        </is>
      </c>
      <c r="K225" s="69" t="inlineStr">
        <is>
          <t>Phase 2</t>
        </is>
      </c>
      <c r="L225" s="69" t="n">
        <v>8</v>
      </c>
      <c r="M225" s="69" t="n">
        <v>19</v>
      </c>
      <c r="N225" s="68">
        <f>IF(M225&lt;=4,"R1 Foundation",IF(M225&lt;=8,"R2 Core Clinic",IF(M225&lt;=13,"R3 Revenue &amp; Messaging",IF(M225&lt;=18,"R4 Patient &amp; Platform",IF(M225&lt;=20,"R5 Harden","R6 Launch")))))</f>
        <v/>
      </c>
      <c r="O225" s="70">
        <f>L225*README!$B$32</f>
        <v/>
      </c>
      <c r="P225" s="68" t="inlineStr">
        <is>
          <t>NB-221, NB-090</t>
        </is>
      </c>
      <c r="Q225" s="68" t="inlineStr">
        <is>
          <t>Results are ordered by a stated rule; no paid placement is possible</t>
        </is>
      </c>
      <c r="R225" s="68" t="inlineStr">
        <is>
          <t>Not started</t>
        </is>
      </c>
      <c r="S225" s="68" t="n"/>
    </row>
    <row r="226" ht="23.85" customHeight="1" s="51">
      <c r="A226" s="62" t="inlineStr">
        <is>
          <t>NB-225</t>
        </is>
      </c>
      <c r="B226" s="62" t="inlineStr">
        <is>
          <t>E19 Aggregator &amp; Demand</t>
        </is>
      </c>
      <c r="C226" s="62" t="inlineStr">
        <is>
          <t>Aggregator</t>
        </is>
      </c>
      <c r="D226" s="62" t="inlineStr">
        <is>
          <t>Verified-visit rating system</t>
        </is>
      </c>
      <c r="E226" s="62" t="inlineStr">
        <is>
          <t>A rating comes only from a completed, paid visit on the platform. Hidden until ten ratings, then shown as New on Nabd.</t>
        </is>
      </c>
      <c r="F226" s="62" t="inlineStr">
        <is>
          <t>AGG-05,CEO-14</t>
        </is>
      </c>
      <c r="G226" s="62" t="inlineStr">
        <is>
          <t>Patient</t>
        </is>
      </c>
      <c r="H226" s="62" t="inlineStr">
        <is>
          <t>Patient</t>
        </is>
      </c>
      <c r="I226" s="62" t="inlineStr">
        <is>
          <t>Backend</t>
        </is>
      </c>
      <c r="J226" s="66" t="inlineStr">
        <is>
          <t>Should</t>
        </is>
      </c>
      <c r="K226" s="66" t="inlineStr">
        <is>
          <t>Phase 2</t>
        </is>
      </c>
      <c r="L226" s="66" t="n">
        <v>8</v>
      </c>
      <c r="M226" s="66" t="n">
        <v>20</v>
      </c>
      <c r="N226" s="62">
        <f>IF(M226&lt;=4,"R1 Foundation",IF(M226&lt;=8,"R2 Core Clinic",IF(M226&lt;=13,"R3 Revenue &amp; Messaging",IF(M226&lt;=18,"R4 Patient &amp; Platform",IF(M226&lt;=20,"R5 Harden","R6 Launch")))))</f>
        <v/>
      </c>
      <c r="O226" s="67">
        <f>L226*README!$B$32</f>
        <v/>
      </c>
      <c r="P226" s="62" t="inlineStr">
        <is>
          <t>NB-224, NB-172</t>
        </is>
      </c>
      <c r="Q226" s="62" t="inlineStr">
        <is>
          <t>A rating cannot be created without a completed paid visit; fewer than ten ratings shows New on Nabd</t>
        </is>
      </c>
      <c r="R226" s="62" t="inlineStr">
        <is>
          <t>Not started</t>
        </is>
      </c>
      <c r="S226" s="62" t="n"/>
    </row>
    <row r="227" ht="23.85" customHeight="1" s="51">
      <c r="A227" s="68" t="inlineStr">
        <is>
          <t>NB-226</t>
        </is>
      </c>
      <c r="B227" s="68" t="inlineStr">
        <is>
          <t>E19 Aggregator &amp; Demand</t>
        </is>
      </c>
      <c r="C227" s="68" t="inlineStr">
        <is>
          <t>Aggregator</t>
        </is>
      </c>
      <c r="D227" s="68" t="inlineStr">
        <is>
          <t>Separate Nabd and Google rating display</t>
        </is>
      </c>
      <c r="E227" s="68" t="inlineStr">
        <is>
          <t>The verified Nabd score and the Google rating are shown separately and never blended into one number.</t>
        </is>
      </c>
      <c r="F227" s="68" t="inlineStr">
        <is>
          <t>AGG-05,CEO-14,PAT-26</t>
        </is>
      </c>
      <c r="G227" s="68" t="inlineStr">
        <is>
          <t>Patient</t>
        </is>
      </c>
      <c r="H227" s="68" t="inlineStr">
        <is>
          <t>Patient</t>
        </is>
      </c>
      <c r="I227" s="68" t="inlineStr">
        <is>
          <t>Frontend</t>
        </is>
      </c>
      <c r="J227" s="69" t="inlineStr">
        <is>
          <t>Should</t>
        </is>
      </c>
      <c r="K227" s="69" t="inlineStr">
        <is>
          <t>Phase 2</t>
        </is>
      </c>
      <c r="L227" s="69" t="n">
        <v>3</v>
      </c>
      <c r="M227" s="69" t="n">
        <v>20</v>
      </c>
      <c r="N227" s="68">
        <f>IF(M227&lt;=4,"R1 Foundation",IF(M227&lt;=8,"R2 Core Clinic",IF(M227&lt;=13,"R3 Revenue &amp; Messaging",IF(M227&lt;=18,"R4 Patient &amp; Platform",IF(M227&lt;=20,"R5 Harden","R6 Launch")))))</f>
        <v/>
      </c>
      <c r="O227" s="70">
        <f>L227*README!$B$32</f>
        <v/>
      </c>
      <c r="P227" s="68" t="inlineStr">
        <is>
          <t>NB-225</t>
        </is>
      </c>
      <c r="Q227" s="68" t="inlineStr">
        <is>
          <t>The two scores are never averaged or combined anywhere in the product</t>
        </is>
      </c>
      <c r="R227" s="68" t="inlineStr">
        <is>
          <t>Not started</t>
        </is>
      </c>
      <c r="S227" s="68" t="n"/>
    </row>
    <row r="228" ht="23.85" customHeight="1" s="51">
      <c r="A228" s="62" t="inlineStr">
        <is>
          <t>NB-227</t>
        </is>
      </c>
      <c r="B228" s="62" t="inlineStr">
        <is>
          <t>E19 Aggregator &amp; Demand</t>
        </is>
      </c>
      <c r="C228" s="62" t="inlineStr">
        <is>
          <t>Aggregator</t>
        </is>
      </c>
      <c r="D228" s="62" t="inlineStr">
        <is>
          <t>Coverage versus demand analytics</t>
        </is>
      </c>
      <c r="E228" s="62" t="inlineStr">
        <is>
          <t>Patient demand on the unified number against actual clinic coverage — the sales signal for territory expansion.</t>
        </is>
      </c>
      <c r="F228" s="62" t="inlineStr">
        <is>
          <t>AGG-04</t>
        </is>
      </c>
      <c r="G228" s="62" t="inlineStr">
        <is>
          <t>Platform</t>
        </is>
      </c>
      <c r="H228" s="62" t="inlineStr">
        <is>
          <t>Platform</t>
        </is>
      </c>
      <c r="I228" s="62" t="inlineStr">
        <is>
          <t>Fullstack</t>
        </is>
      </c>
      <c r="J228" s="66" t="inlineStr">
        <is>
          <t>Should</t>
        </is>
      </c>
      <c r="K228" s="66" t="inlineStr">
        <is>
          <t>Phase 2</t>
        </is>
      </c>
      <c r="L228" s="66" t="n">
        <v>8</v>
      </c>
      <c r="M228" s="66" t="n">
        <v>20</v>
      </c>
      <c r="N228" s="62">
        <f>IF(M228&lt;=4,"R1 Foundation",IF(M228&lt;=8,"R2 Core Clinic",IF(M228&lt;=13,"R3 Revenue &amp; Messaging",IF(M228&lt;=18,"R4 Patient &amp; Platform",IF(M228&lt;=20,"R5 Harden","R6 Launch")))))</f>
        <v/>
      </c>
      <c r="O228" s="67">
        <f>L228*README!$B$32</f>
        <v/>
      </c>
      <c r="P228" s="62" t="inlineStr">
        <is>
          <t>NB-221, NB-270</t>
        </is>
      </c>
      <c r="Q228" s="62" t="inlineStr">
        <is>
          <t>Unserved demand by territory is reportable and feeds the sales pipeline</t>
        </is>
      </c>
      <c r="R228" s="62" t="inlineStr">
        <is>
          <t>Not started</t>
        </is>
      </c>
      <c r="S228" s="62" t="n"/>
    </row>
    <row r="229" ht="23.85" customHeight="1" s="51">
      <c r="A229" s="68" t="inlineStr">
        <is>
          <t>NB-228</t>
        </is>
      </c>
      <c r="B229" s="68" t="inlineStr">
        <is>
          <t>E20 Owner Insights &amp; Reports</t>
        </is>
      </c>
      <c r="C229" s="68" t="inlineStr">
        <is>
          <t>Reports</t>
        </is>
      </c>
      <c r="D229" s="68" t="inlineStr">
        <is>
          <t>Reporting read model &amp; nightly aggregation</t>
        </is>
      </c>
      <c r="E229" s="68" t="inlineStr">
        <is>
          <t>Reports never touch the operational database.</t>
        </is>
      </c>
      <c r="F229" s="68" t="n"/>
      <c r="G229" s="68" t="inlineStr">
        <is>
          <t>Owner</t>
        </is>
      </c>
      <c r="H229" s="68" t="inlineStr">
        <is>
          <t>Clinic</t>
        </is>
      </c>
      <c r="I229" s="68" t="inlineStr">
        <is>
          <t>Backend</t>
        </is>
      </c>
      <c r="J229" s="69" t="inlineStr">
        <is>
          <t>Must</t>
        </is>
      </c>
      <c r="K229" s="69" t="inlineStr">
        <is>
          <t>MVP</t>
        </is>
      </c>
      <c r="L229" s="69" t="n">
        <v>8</v>
      </c>
      <c r="M229" s="69" t="n">
        <v>13</v>
      </c>
      <c r="N229" s="68">
        <f>IF(M229&lt;=4,"R1 Foundation",IF(M229&lt;=8,"R2 Core Clinic",IF(M229&lt;=13,"R3 Revenue &amp; Messaging",IF(M229&lt;=18,"R4 Patient &amp; Platform",IF(M229&lt;=20,"R5 Harden","R6 Launch")))))</f>
        <v/>
      </c>
      <c r="O229" s="70">
        <f>L229*README!$B$32</f>
        <v/>
      </c>
      <c r="P229" s="68" t="inlineStr">
        <is>
          <t>NB-003, NB-007</t>
        </is>
      </c>
      <c r="Q229" s="68" t="inlineStr">
        <is>
          <t>Every report reads exclusively from the read model</t>
        </is>
      </c>
      <c r="R229" s="68" t="inlineStr">
        <is>
          <t>Not started</t>
        </is>
      </c>
      <c r="S229" s="68" t="n"/>
    </row>
    <row r="230" ht="23.85" customHeight="1" s="51">
      <c r="A230" s="62" t="inlineStr">
        <is>
          <t>NB-229</t>
        </is>
      </c>
      <c r="B230" s="62" t="inlineStr">
        <is>
          <t>E20 Owner Insights &amp; Reports</t>
        </is>
      </c>
      <c r="C230" s="62" t="inlineStr">
        <is>
          <t>Reports</t>
        </is>
      </c>
      <c r="D230" s="62" t="inlineStr">
        <is>
          <t>Daily money dashboard</t>
        </is>
      </c>
      <c r="E230" s="62" t="inlineStr">
        <is>
          <t>The owner's today view, opening in under two seconds on mobile.</t>
        </is>
      </c>
      <c r="F230" s="62" t="inlineStr">
        <is>
          <t>OWN-01</t>
        </is>
      </c>
      <c r="G230" s="62" t="inlineStr">
        <is>
          <t>Owner</t>
        </is>
      </c>
      <c r="H230" s="62" t="inlineStr">
        <is>
          <t>Clinic</t>
        </is>
      </c>
      <c r="I230" s="62" t="inlineStr">
        <is>
          <t>Fullstack</t>
        </is>
      </c>
      <c r="J230" s="66" t="inlineStr">
        <is>
          <t>Must</t>
        </is>
      </c>
      <c r="K230" s="66" t="inlineStr">
        <is>
          <t>MVP</t>
        </is>
      </c>
      <c r="L230" s="66" t="n">
        <v>5</v>
      </c>
      <c r="M230" s="66" t="n">
        <v>15</v>
      </c>
      <c r="N230" s="62">
        <f>IF(M230&lt;=4,"R1 Foundation",IF(M230&lt;=8,"R2 Core Clinic",IF(M230&lt;=13,"R3 Revenue &amp; Messaging",IF(M230&lt;=18,"R4 Patient &amp; Platform",IF(M230&lt;=20,"R5 Harden","R6 Launch")))))</f>
        <v/>
      </c>
      <c r="O230" s="67">
        <f>L230*README!$B$32</f>
        <v/>
      </c>
      <c r="P230" s="62" t="inlineStr">
        <is>
          <t>NB-228, NB-025</t>
        </is>
      </c>
      <c r="Q230" s="62" t="inlineStr">
        <is>
          <t>Opens in under two seconds on a mid-range mobile device</t>
        </is>
      </c>
      <c r="R230" s="62" t="inlineStr">
        <is>
          <t>Done</t>
        </is>
      </c>
      <c r="S230" s="62" t="n"/>
    </row>
    <row r="231" ht="23.85" customHeight="1" s="51">
      <c r="A231" s="68" t="inlineStr">
        <is>
          <t>NB-230</t>
        </is>
      </c>
      <c r="B231" s="68" t="inlineStr">
        <is>
          <t>E20 Owner Insights &amp; Reports</t>
        </is>
      </c>
      <c r="C231" s="68" t="inlineStr">
        <is>
          <t>Reports</t>
        </is>
      </c>
      <c r="D231" s="68" t="inlineStr">
        <is>
          <t>Where patients come from</t>
        </is>
      </c>
      <c r="E231" s="68" t="inlineStr">
        <is>
          <t>One source tag per visit, never a dual axis.</t>
        </is>
      </c>
      <c r="F231" s="68" t="inlineStr">
        <is>
          <t>OWN-02,MKT-04</t>
        </is>
      </c>
      <c r="G231" s="68" t="inlineStr">
        <is>
          <t>Owner</t>
        </is>
      </c>
      <c r="H231" s="68" t="inlineStr">
        <is>
          <t>Clinic</t>
        </is>
      </c>
      <c r="I231" s="68" t="inlineStr">
        <is>
          <t>Fullstack</t>
        </is>
      </c>
      <c r="J231" s="69" t="inlineStr">
        <is>
          <t>Must</t>
        </is>
      </c>
      <c r="K231" s="69" t="inlineStr">
        <is>
          <t>MVP</t>
        </is>
      </c>
      <c r="L231" s="69" t="n">
        <v>5</v>
      </c>
      <c r="M231" s="69" t="n">
        <v>16</v>
      </c>
      <c r="N231" s="68">
        <f>IF(M231&lt;=4,"R1 Foundation",IF(M231&lt;=8,"R2 Core Clinic",IF(M231&lt;=13,"R3 Revenue &amp; Messaging",IF(M231&lt;=18,"R4 Patient &amp; Platform",IF(M231&lt;=20,"R5 Harden","R6 Launch")))))</f>
        <v/>
      </c>
      <c r="O231" s="70">
        <f>L231*README!$B$32</f>
        <v/>
      </c>
      <c r="P231" s="68" t="inlineStr">
        <is>
          <t>NB-228, NB-079</t>
        </is>
      </c>
      <c r="Q231" s="68" t="inlineStr">
        <is>
          <t>Single-axis source attribution; no dual-axis chart is produced</t>
        </is>
      </c>
      <c r="R231" s="68" t="inlineStr">
        <is>
          <t>Done</t>
        </is>
      </c>
      <c r="S231" s="68" t="n"/>
    </row>
    <row r="232" ht="23.85" customHeight="1" s="51">
      <c r="A232" s="62" t="inlineStr">
        <is>
          <t>NB-231</t>
        </is>
      </c>
      <c r="B232" s="62" t="inlineStr">
        <is>
          <t>E20 Owner Insights &amp; Reports</t>
        </is>
      </c>
      <c r="C232" s="62" t="inlineStr">
        <is>
          <t>Reports</t>
        </is>
      </c>
      <c r="D232" s="62" t="inlineStr">
        <is>
          <t>Staff collection &amp; performance</t>
        </is>
      </c>
      <c r="E232" s="62" t="inlineStr">
        <is>
          <t>Coaching data for a small team, not surveillance. A staff member sees only their own row.</t>
        </is>
      </c>
      <c r="F232" s="62" t="inlineStr">
        <is>
          <t>OWN-04</t>
        </is>
      </c>
      <c r="G232" s="62" t="inlineStr">
        <is>
          <t>Owner</t>
        </is>
      </c>
      <c r="H232" s="62" t="inlineStr">
        <is>
          <t>Clinic</t>
        </is>
      </c>
      <c r="I232" s="62" t="inlineStr">
        <is>
          <t>Fullstack</t>
        </is>
      </c>
      <c r="J232" s="66" t="inlineStr">
        <is>
          <t>Should</t>
        </is>
      </c>
      <c r="K232" s="66" t="inlineStr">
        <is>
          <t>MVP</t>
        </is>
      </c>
      <c r="L232" s="66" t="n">
        <v>5</v>
      </c>
      <c r="M232" s="66" t="n">
        <v>16</v>
      </c>
      <c r="N232" s="62">
        <f>IF(M232&lt;=4,"R1 Foundation",IF(M232&lt;=8,"R2 Core Clinic",IF(M232&lt;=13,"R3 Revenue &amp; Messaging",IF(M232&lt;=18,"R4 Patient &amp; Platform",IF(M232&lt;=20,"R5 Harden","R6 Launch")))))</f>
        <v/>
      </c>
      <c r="O232" s="67">
        <f>L232*README!$B$32</f>
        <v/>
      </c>
      <c r="P232" s="62" t="inlineStr">
        <is>
          <t>NB-228, NB-051</t>
        </is>
      </c>
      <c r="Q232" s="62" t="inlineStr">
        <is>
          <t>A staff member can see only their own row; the access rule is stated on the surface</t>
        </is>
      </c>
      <c r="R232" s="62" t="inlineStr">
        <is>
          <t>Done</t>
        </is>
      </c>
      <c r="S232" s="62" t="n"/>
    </row>
    <row r="233" ht="23.85" customHeight="1" s="51">
      <c r="A233" s="68" t="inlineStr">
        <is>
          <t>NB-232</t>
        </is>
      </c>
      <c r="B233" s="68" t="inlineStr">
        <is>
          <t>E20 Owner Insights &amp; Reports</t>
        </is>
      </c>
      <c r="C233" s="68" t="inlineStr">
        <is>
          <t>Reports</t>
        </is>
      </c>
      <c r="D233" s="68" t="inlineStr">
        <is>
          <t>Package liability reporting</t>
        </is>
      </c>
      <c r="E233" s="68" t="inlineStr">
        <is>
          <t>Sales, redemption and revenue recognition for packages.</t>
        </is>
      </c>
      <c r="F233" s="68" t="inlineStr">
        <is>
          <t>PKG-18,OWN-08,PKG-17</t>
        </is>
      </c>
      <c r="G233" s="68" t="inlineStr">
        <is>
          <t>Owner</t>
        </is>
      </c>
      <c r="H233" s="68" t="inlineStr">
        <is>
          <t>Clinic</t>
        </is>
      </c>
      <c r="I233" s="68" t="inlineStr">
        <is>
          <t>Fullstack</t>
        </is>
      </c>
      <c r="J233" s="69" t="inlineStr">
        <is>
          <t>Must</t>
        </is>
      </c>
      <c r="K233" s="69" t="inlineStr">
        <is>
          <t>MVP</t>
        </is>
      </c>
      <c r="L233" s="69" t="n">
        <v>5</v>
      </c>
      <c r="M233" s="69" t="n">
        <v>16</v>
      </c>
      <c r="N233" s="68">
        <f>IF(M233&lt;=4,"R1 Foundation",IF(M233&lt;=8,"R2 Core Clinic",IF(M233&lt;=13,"R3 Revenue &amp; Messaging",IF(M233&lt;=18,"R4 Patient &amp; Platform",IF(M233&lt;=20,"R5 Harden","R6 Launch")))))</f>
        <v/>
      </c>
      <c r="O233" s="70">
        <f>L233*README!$B$32</f>
        <v/>
      </c>
      <c r="P233" s="68" t="inlineStr">
        <is>
          <t>NB-161</t>
        </is>
      </c>
      <c r="Q233" s="68" t="inlineStr">
        <is>
          <t>Figures tie to the package ledger</t>
        </is>
      </c>
      <c r="R233" s="68" t="inlineStr">
        <is>
          <t>Done</t>
        </is>
      </c>
      <c r="S233" s="68" t="n"/>
    </row>
    <row r="234" ht="23.85" customHeight="1" s="51">
      <c r="A234" s="62" t="inlineStr">
        <is>
          <t>NB-233</t>
        </is>
      </c>
      <c r="B234" s="62" t="inlineStr">
        <is>
          <t>E20 Owner Insights &amp; Reports</t>
        </is>
      </c>
      <c r="C234" s="62" t="inlineStr">
        <is>
          <t>Reports</t>
        </is>
      </c>
      <c r="D234" s="62" t="inlineStr">
        <is>
          <t>Billing leakage alerts</t>
        </is>
      </c>
      <c r="E234" s="62" t="inlineStr">
        <is>
          <t>An alert list with a configurable threshold, always visible.</t>
        </is>
      </c>
      <c r="F234" s="62" t="inlineStr">
        <is>
          <t>OWN-09,BIL-06</t>
        </is>
      </c>
      <c r="G234" s="62" t="inlineStr">
        <is>
          <t>Owner</t>
        </is>
      </c>
      <c r="H234" s="62" t="inlineStr">
        <is>
          <t>Clinic</t>
        </is>
      </c>
      <c r="I234" s="62" t="inlineStr">
        <is>
          <t>Fullstack</t>
        </is>
      </c>
      <c r="J234" s="66" t="inlineStr">
        <is>
          <t>Must</t>
        </is>
      </c>
      <c r="K234" s="66" t="inlineStr">
        <is>
          <t>MVP</t>
        </is>
      </c>
      <c r="L234" s="66" t="n">
        <v>8</v>
      </c>
      <c r="M234" s="66" t="n">
        <v>17</v>
      </c>
      <c r="N234" s="62">
        <f>IF(M234&lt;=4,"R1 Foundation",IF(M234&lt;=8,"R2 Core Clinic",IF(M234&lt;=13,"R3 Revenue &amp; Messaging",IF(M234&lt;=18,"R4 Patient &amp; Platform",IF(M234&lt;=20,"R5 Harden","R6 Launch")))))</f>
        <v/>
      </c>
      <c r="O234" s="67">
        <f>L234*README!$B$32</f>
        <v/>
      </c>
      <c r="P234" s="62" t="inlineStr">
        <is>
          <t>NB-228, NB-171</t>
        </is>
      </c>
      <c r="Q234" s="62" t="inlineStr">
        <is>
          <t>Threshold configurable; untagged and unbilled visits surface as alerts</t>
        </is>
      </c>
      <c r="R234" s="62" t="inlineStr">
        <is>
          <t>Done</t>
        </is>
      </c>
      <c r="S234" s="62" t="n"/>
    </row>
    <row r="235" ht="23.85" customHeight="1" s="51">
      <c r="A235" s="68" t="inlineStr">
        <is>
          <t>NB-234</t>
        </is>
      </c>
      <c r="B235" s="68" t="inlineStr">
        <is>
          <t>E20 Owner Insights &amp; Reports</t>
        </is>
      </c>
      <c r="C235" s="68" t="inlineStr">
        <is>
          <t>Reports</t>
        </is>
      </c>
      <c r="D235" s="68" t="inlineStr">
        <is>
          <t>Repeat-patient &amp; recall value</t>
        </is>
      </c>
      <c r="E235" s="68" t="inlineStr">
        <is>
          <t>Aggregated retention reporting only — no individual patient list.</t>
        </is>
      </c>
      <c r="F235" s="68" t="inlineStr">
        <is>
          <t>OWN-03,OWN-05</t>
        </is>
      </c>
      <c r="G235" s="68" t="inlineStr">
        <is>
          <t>Owner</t>
        </is>
      </c>
      <c r="H235" s="68" t="inlineStr">
        <is>
          <t>Clinic</t>
        </is>
      </c>
      <c r="I235" s="68" t="inlineStr">
        <is>
          <t>Fullstack</t>
        </is>
      </c>
      <c r="J235" s="69" t="inlineStr">
        <is>
          <t>Should</t>
        </is>
      </c>
      <c r="K235" s="69" t="inlineStr">
        <is>
          <t>Phase 2</t>
        </is>
      </c>
      <c r="L235" s="69" t="n">
        <v>5</v>
      </c>
      <c r="M235" s="69" t="n">
        <v>18</v>
      </c>
      <c r="N235" s="68">
        <f>IF(M235&lt;=4,"R1 Foundation",IF(M235&lt;=8,"R2 Core Clinic",IF(M235&lt;=13,"R3 Revenue &amp; Messaging",IF(M235&lt;=18,"R4 Patient &amp; Platform",IF(M235&lt;=20,"R5 Harden","R6 Launch")))))</f>
        <v/>
      </c>
      <c r="O235" s="70">
        <f>L235*README!$B$32</f>
        <v/>
      </c>
      <c r="P235" s="68" t="inlineStr">
        <is>
          <t>NB-228</t>
        </is>
      </c>
      <c r="Q235" s="68" t="inlineStr">
        <is>
          <t>No individual patient list is exposed anywhere in this view</t>
        </is>
      </c>
      <c r="R235" s="68" t="inlineStr">
        <is>
          <t>Done</t>
        </is>
      </c>
      <c r="S235" s="68" t="n"/>
    </row>
    <row r="236" ht="15" customHeight="1" s="51">
      <c r="A236" s="62" t="inlineStr">
        <is>
          <t>NB-235</t>
        </is>
      </c>
      <c r="B236" s="62" t="inlineStr">
        <is>
          <t>E20 Owner Insights &amp; Reports</t>
        </is>
      </c>
      <c r="C236" s="62" t="inlineStr">
        <is>
          <t>Reports</t>
        </is>
      </c>
      <c r="D236" s="62" t="inlineStr">
        <is>
          <t>Rule-based no-show prediction</t>
        </is>
      </c>
      <c r="E236" s="62" t="inlineStr">
        <is>
          <t>A transparent rule-based signal, not an opaque model.</t>
        </is>
      </c>
      <c r="F236" s="62" t="inlineStr">
        <is>
          <t>OWN-05</t>
        </is>
      </c>
      <c r="G236" s="62" t="inlineStr">
        <is>
          <t>Owner,Reception</t>
        </is>
      </c>
      <c r="H236" s="62" t="inlineStr">
        <is>
          <t>Clinic</t>
        </is>
      </c>
      <c r="I236" s="62" t="inlineStr">
        <is>
          <t>Fullstack</t>
        </is>
      </c>
      <c r="J236" s="66" t="inlineStr">
        <is>
          <t>Could</t>
        </is>
      </c>
      <c r="K236" s="66" t="inlineStr">
        <is>
          <t>Phase 2</t>
        </is>
      </c>
      <c r="L236" s="66" t="n">
        <v>5</v>
      </c>
      <c r="M236" s="66" t="n">
        <v>19</v>
      </c>
      <c r="N236" s="62">
        <f>IF(M236&lt;=4,"R1 Foundation",IF(M236&lt;=8,"R2 Core Clinic",IF(M236&lt;=13,"R3 Revenue &amp; Messaging",IF(M236&lt;=18,"R4 Patient &amp; Platform",IF(M236&lt;=20,"R5 Harden","R6 Launch")))))</f>
        <v/>
      </c>
      <c r="O236" s="67">
        <f>L236*README!$B$32</f>
        <v/>
      </c>
      <c r="P236" s="62" t="inlineStr">
        <is>
          <t>NB-228</t>
        </is>
      </c>
      <c r="Q236" s="62" t="inlineStr">
        <is>
          <t>The rule is stated on the surface and is auditable</t>
        </is>
      </c>
      <c r="R236" s="62" t="inlineStr">
        <is>
          <t>Done</t>
        </is>
      </c>
      <c r="S236" s="62" t="n"/>
    </row>
    <row r="237" ht="35.05" customHeight="1" s="51">
      <c r="A237" s="68" t="inlineStr">
        <is>
          <t>NB-236</t>
        </is>
      </c>
      <c r="B237" s="68" t="inlineStr">
        <is>
          <t>E20 Owner Insights &amp; Reports</t>
        </is>
      </c>
      <c r="C237" s="68" t="inlineStr">
        <is>
          <t>Reports</t>
        </is>
      </c>
      <c r="D237" s="68" t="inlineStr">
        <is>
          <t>Doctor punctuality statistic</t>
        </is>
      </c>
      <c r="E237" s="68" t="inlineStr">
        <is>
          <t>Owner-only aggregate of delay events, average declared minutes and same-day repeats. No per-patient log; neither doctor nor reception can see it.</t>
        </is>
      </c>
      <c r="F237" s="68" t="inlineStr">
        <is>
          <t>RCP-04</t>
        </is>
      </c>
      <c r="G237" s="68" t="inlineStr">
        <is>
          <t>Owner</t>
        </is>
      </c>
      <c r="H237" s="68" t="inlineStr">
        <is>
          <t>Clinic</t>
        </is>
      </c>
      <c r="I237" s="68" t="inlineStr">
        <is>
          <t>Fullstack</t>
        </is>
      </c>
      <c r="J237" s="69" t="inlineStr">
        <is>
          <t>Should</t>
        </is>
      </c>
      <c r="K237" s="69" t="inlineStr">
        <is>
          <t>MVP</t>
        </is>
      </c>
      <c r="L237" s="69" t="n">
        <v>5</v>
      </c>
      <c r="M237" s="69" t="n">
        <v>17</v>
      </c>
      <c r="N237" s="68">
        <f>IF(M237&lt;=4,"R1 Foundation",IF(M237&lt;=8,"R2 Core Clinic",IF(M237&lt;=13,"R3 Revenue &amp; Messaging",IF(M237&lt;=18,"R4 Patient &amp; Platform",IF(M237&lt;=20,"R5 Harden","R6 Launch")))))</f>
        <v/>
      </c>
      <c r="O237" s="70">
        <f>L237*README!$B$32</f>
        <v/>
      </c>
      <c r="P237" s="68" t="inlineStr">
        <is>
          <t>NB-100, NB-228</t>
        </is>
      </c>
      <c r="Q237" s="68" t="inlineStr">
        <is>
          <t>Absent for doctor and reception roles; the access rule is printed on the surface</t>
        </is>
      </c>
      <c r="R237" s="68" t="inlineStr">
        <is>
          <t>Done</t>
        </is>
      </c>
      <c r="S237" s="68" t="n"/>
    </row>
    <row r="238" ht="23.85" customHeight="1" s="51">
      <c r="A238" s="62" t="inlineStr">
        <is>
          <t>NB-237</t>
        </is>
      </c>
      <c r="B238" s="62" t="inlineStr">
        <is>
          <t>E20 Owner Insights &amp; Reports</t>
        </is>
      </c>
      <c r="C238" s="62" t="inlineStr">
        <is>
          <t>Reports</t>
        </is>
      </c>
      <c r="D238" s="62" t="inlineStr">
        <is>
          <t>Scheduled report delivery &amp; export</t>
        </is>
      </c>
      <c r="E238" s="62" t="inlineStr">
        <is>
          <t>CSV and PDF export plus emailed schedules, watermarked and access-logged.</t>
        </is>
      </c>
      <c r="F238" s="62" t="inlineStr">
        <is>
          <t>SYS-23</t>
        </is>
      </c>
      <c r="G238" s="62" t="inlineStr">
        <is>
          <t>Owner</t>
        </is>
      </c>
      <c r="H238" s="62" t="inlineStr">
        <is>
          <t>Clinic</t>
        </is>
      </c>
      <c r="I238" s="62" t="inlineStr">
        <is>
          <t>Fullstack</t>
        </is>
      </c>
      <c r="J238" s="66" t="inlineStr">
        <is>
          <t>Could</t>
        </is>
      </c>
      <c r="K238" s="66" t="inlineStr">
        <is>
          <t>Phase 2</t>
        </is>
      </c>
      <c r="L238" s="66" t="n">
        <v>3</v>
      </c>
      <c r="M238" s="66" t="n">
        <v>19</v>
      </c>
      <c r="N238" s="62">
        <f>IF(M238&lt;=4,"R1 Foundation",IF(M238&lt;=8,"R2 Core Clinic",IF(M238&lt;=13,"R3 Revenue &amp; Messaging",IF(M238&lt;=18,"R4 Patient &amp; Platform",IF(M238&lt;=20,"R5 Harden","R6 Launch")))))</f>
        <v/>
      </c>
      <c r="O238" s="67">
        <f>L238*README!$B$32</f>
        <v/>
      </c>
      <c r="P238" s="62" t="inlineStr">
        <is>
          <t>NB-228, NB-027</t>
        </is>
      </c>
      <c r="Q238" s="62" t="inlineStr">
        <is>
          <t>Every export writes an audit event with row counts</t>
        </is>
      </c>
      <c r="R238" s="62" t="inlineStr">
        <is>
          <t>In progress</t>
        </is>
      </c>
      <c r="S238" s="62" t="n"/>
    </row>
    <row r="239" ht="23.85" customHeight="1" s="51">
      <c r="A239" s="68" t="inlineStr">
        <is>
          <t>NB-238</t>
        </is>
      </c>
      <c r="B239" s="68" t="inlineStr">
        <is>
          <t>E21 Compliance, Consent &amp; Data Protection</t>
        </is>
      </c>
      <c r="C239" s="68" t="inlineStr">
        <is>
          <t>Compliance</t>
        </is>
      </c>
      <c r="D239" s="68" t="inlineStr">
        <is>
          <t>Immutable audit trail service</t>
        </is>
      </c>
      <c r="E239" s="68" t="inlineStr">
        <is>
          <t>Who, what, when and before/after for every PHI and financial action, append-only.</t>
        </is>
      </c>
      <c r="F239" s="68" t="inlineStr">
        <is>
          <t>SYS-13</t>
        </is>
      </c>
      <c r="G239" s="68" t="inlineStr">
        <is>
          <t>All</t>
        </is>
      </c>
      <c r="H239" s="68" t="inlineStr">
        <is>
          <t>Shared</t>
        </is>
      </c>
      <c r="I239" s="68" t="inlineStr">
        <is>
          <t>Backend</t>
        </is>
      </c>
      <c r="J239" s="69" t="inlineStr">
        <is>
          <t>Must</t>
        </is>
      </c>
      <c r="K239" s="69" t="inlineStr">
        <is>
          <t>MVP</t>
        </is>
      </c>
      <c r="L239" s="69" t="n">
        <v>8</v>
      </c>
      <c r="M239" s="69" t="n">
        <v>7</v>
      </c>
      <c r="N239" s="68">
        <f>IF(M239&lt;=4,"R1 Foundation",IF(M239&lt;=8,"R2 Core Clinic",IF(M239&lt;=13,"R3 Revenue &amp; Messaging",IF(M239&lt;=18,"R4 Patient &amp; Platform",IF(M239&lt;=20,"R5 Harden","R6 Launch")))))</f>
        <v/>
      </c>
      <c r="O239" s="70">
        <f>L239*README!$B$32</f>
        <v/>
      </c>
      <c r="P239" s="68" t="inlineStr">
        <is>
          <t>NB-003</t>
        </is>
      </c>
      <c r="Q239" s="68" t="inlineStr">
        <is>
          <t>Tamper attempt detected; audit survives application-level deletion</t>
        </is>
      </c>
      <c r="R239" s="68" t="inlineStr">
        <is>
          <t>Done</t>
        </is>
      </c>
      <c r="S239" s="68" t="n"/>
    </row>
    <row r="240" ht="23.85" customHeight="1" s="51">
      <c r="A240" s="62" t="inlineStr">
        <is>
          <t>NB-239</t>
        </is>
      </c>
      <c r="B240" s="62" t="inlineStr">
        <is>
          <t>E21 Compliance, Consent &amp; Data Protection</t>
        </is>
      </c>
      <c r="C240" s="62" t="inlineStr">
        <is>
          <t>Compliance</t>
        </is>
      </c>
      <c r="D240" s="62" t="inlineStr">
        <is>
          <t>Audit log surface for the clinic</t>
        </is>
      </c>
      <c r="E240" s="62" t="inlineStr">
        <is>
          <t>Owner-facing searchable audit view with export.</t>
        </is>
      </c>
      <c r="F240" s="62" t="inlineStr">
        <is>
          <t>SYS-13,CAD-07</t>
        </is>
      </c>
      <c r="G240" s="62" t="inlineStr">
        <is>
          <t>Owner</t>
        </is>
      </c>
      <c r="H240" s="62" t="inlineStr">
        <is>
          <t>Clinic</t>
        </is>
      </c>
      <c r="I240" s="62" t="inlineStr">
        <is>
          <t>Frontend</t>
        </is>
      </c>
      <c r="J240" s="66" t="inlineStr">
        <is>
          <t>Must</t>
        </is>
      </c>
      <c r="K240" s="66" t="inlineStr">
        <is>
          <t>MVP</t>
        </is>
      </c>
      <c r="L240" s="66" t="n">
        <v>5</v>
      </c>
      <c r="M240" s="66" t="n">
        <v>14</v>
      </c>
      <c r="N240" s="62">
        <f>IF(M240&lt;=4,"R1 Foundation",IF(M240&lt;=8,"R2 Core Clinic",IF(M240&lt;=13,"R3 Revenue &amp; Messaging",IF(M240&lt;=18,"R4 Patient &amp; Platform",IF(M240&lt;=20,"R5 Harden","R6 Launch")))))</f>
        <v/>
      </c>
      <c r="O240" s="67">
        <f>L240*README!$B$32</f>
        <v/>
      </c>
      <c r="P240" s="62" t="inlineStr">
        <is>
          <t>NB-238</t>
        </is>
      </c>
      <c r="Q240" s="62" t="inlineStr">
        <is>
          <t>Searchable by user, patient, date and action; export is itself audited</t>
        </is>
      </c>
      <c r="R240" s="62" t="inlineStr">
        <is>
          <t>Not started</t>
        </is>
      </c>
      <c r="S240" s="62" t="n"/>
    </row>
    <row r="241" ht="23.85" customHeight="1" s="51">
      <c r="A241" s="68" t="inlineStr">
        <is>
          <t>NB-240</t>
        </is>
      </c>
      <c r="B241" s="68" t="inlineStr">
        <is>
          <t>E21 Compliance, Consent &amp; Data Protection</t>
        </is>
      </c>
      <c r="C241" s="68" t="inlineStr">
        <is>
          <t>Compliance</t>
        </is>
      </c>
      <c r="D241" s="68" t="inlineStr">
        <is>
          <t>Consent &amp; notice template library</t>
        </is>
      </c>
      <c r="E241" s="68" t="inlineStr">
        <is>
          <t>A new tenant goes live with correct market templates without writing anything.</t>
        </is>
      </c>
      <c r="F241" s="68" t="inlineStr">
        <is>
          <t>CMP-01,CAD-08</t>
        </is>
      </c>
      <c r="G241" s="68" t="inlineStr">
        <is>
          <t>Owner,Platform</t>
        </is>
      </c>
      <c r="H241" s="68" t="inlineStr">
        <is>
          <t>Shared</t>
        </is>
      </c>
      <c r="I241" s="68" t="inlineStr">
        <is>
          <t>Fullstack</t>
        </is>
      </c>
      <c r="J241" s="69" t="inlineStr">
        <is>
          <t>Must</t>
        </is>
      </c>
      <c r="K241" s="69" t="inlineStr">
        <is>
          <t>MVP</t>
        </is>
      </c>
      <c r="L241" s="69" t="n">
        <v>8</v>
      </c>
      <c r="M241" s="69" t="n">
        <v>10</v>
      </c>
      <c r="N241" s="68">
        <f>IF(M241&lt;=4,"R1 Foundation",IF(M241&lt;=8,"R2 Core Clinic",IF(M241&lt;=13,"R3 Revenue &amp; Messaging",IF(M241&lt;=18,"R4 Patient &amp; Platform",IF(M241&lt;=20,"R5 Harden","R6 Launch")))))</f>
        <v/>
      </c>
      <c r="O241" s="70">
        <f>L241*README!$B$32</f>
        <v/>
      </c>
      <c r="P241" s="68" t="inlineStr">
        <is>
          <t>NB-003, NB-261</t>
        </is>
      </c>
      <c r="Q241" s="68" t="inlineStr">
        <is>
          <t>A newly provisioned tenant has correct market templates on day one</t>
        </is>
      </c>
      <c r="R241" s="68" t="inlineStr">
        <is>
          <t>Not started</t>
        </is>
      </c>
      <c r="S241" s="68" t="n"/>
    </row>
    <row r="242" ht="23.85" customHeight="1" s="51">
      <c r="A242" s="62" t="inlineStr">
        <is>
          <t>NB-241</t>
        </is>
      </c>
      <c r="B242" s="62" t="inlineStr">
        <is>
          <t>E21 Compliance, Consent &amp; Data Protection</t>
        </is>
      </c>
      <c r="C242" s="62" t="inlineStr">
        <is>
          <t>Compliance</t>
        </is>
      </c>
      <c r="D242" s="62" t="inlineStr">
        <is>
          <t>Consent as a hard gate with owner evidence</t>
        </is>
      </c>
      <c r="E242" s="62" t="inlineStr">
        <is>
          <t>Consent blocks the action, not just the UI, and the owner can evidence it.</t>
        </is>
      </c>
      <c r="F242" s="62" t="inlineStr">
        <is>
          <t>CMP-02,NFR-08</t>
        </is>
      </c>
      <c r="G242" s="62" t="inlineStr">
        <is>
          <t>Owner</t>
        </is>
      </c>
      <c r="H242" s="62" t="inlineStr">
        <is>
          <t>Shared</t>
        </is>
      </c>
      <c r="I242" s="62" t="inlineStr">
        <is>
          <t>Fullstack</t>
        </is>
      </c>
      <c r="J242" s="66" t="inlineStr">
        <is>
          <t>Must</t>
        </is>
      </c>
      <c r="K242" s="66" t="inlineStr">
        <is>
          <t>MVP</t>
        </is>
      </c>
      <c r="L242" s="66" t="n">
        <v>8</v>
      </c>
      <c r="M242" s="66" t="n">
        <v>13</v>
      </c>
      <c r="N242" s="62">
        <f>IF(M242&lt;=4,"R1 Foundation",IF(M242&lt;=8,"R2 Core Clinic",IF(M242&lt;=13,"R3 Revenue &amp; Messaging",IF(M242&lt;=18,"R4 Patient &amp; Platform",IF(M242&lt;=20,"R5 Harden","R6 Launch")))))</f>
        <v/>
      </c>
      <c r="O242" s="67">
        <f>L242*README!$B$32</f>
        <v/>
      </c>
      <c r="P242" s="62" t="inlineStr">
        <is>
          <t>NB-053, NB-240</t>
        </is>
      </c>
      <c r="Q242" s="62" t="inlineStr">
        <is>
          <t>Sending is blocked on every channel when consent is absent; the owner can produce evidence</t>
        </is>
      </c>
      <c r="R242" s="62" t="inlineStr">
        <is>
          <t>Not started</t>
        </is>
      </c>
      <c r="S242" s="62" t="n"/>
    </row>
    <row r="243" ht="23.85" customHeight="1" s="51">
      <c r="A243" s="68" t="inlineStr">
        <is>
          <t>NB-242</t>
        </is>
      </c>
      <c r="B243" s="68" t="inlineStr">
        <is>
          <t>E21 Compliance, Consent &amp; Data Protection</t>
        </is>
      </c>
      <c r="C243" s="68" t="inlineStr">
        <is>
          <t>Compliance</t>
        </is>
      </c>
      <c r="D243" s="68" t="inlineStr">
        <is>
          <t>Consent registry &amp; versioned audit</t>
        </is>
      </c>
      <c r="E243" s="68" t="inlineStr">
        <is>
          <t>Every consent version recorded, including signed DPA versions.</t>
        </is>
      </c>
      <c r="F243" s="68" t="inlineStr">
        <is>
          <t>DPO-01,CEO-17</t>
        </is>
      </c>
      <c r="G243" s="68" t="inlineStr">
        <is>
          <t>Owner,Platform</t>
        </is>
      </c>
      <c r="H243" s="68" t="inlineStr">
        <is>
          <t>Shared</t>
        </is>
      </c>
      <c r="I243" s="68" t="inlineStr">
        <is>
          <t>Backend</t>
        </is>
      </c>
      <c r="J243" s="69" t="inlineStr">
        <is>
          <t>Must</t>
        </is>
      </c>
      <c r="K243" s="69" t="inlineStr">
        <is>
          <t>MVP</t>
        </is>
      </c>
      <c r="L243" s="69" t="n">
        <v>8</v>
      </c>
      <c r="M243" s="69" t="n">
        <v>13</v>
      </c>
      <c r="N243" s="68">
        <f>IF(M243&lt;=4,"R1 Foundation",IF(M243&lt;=8,"R2 Core Clinic",IF(M243&lt;=13,"R3 Revenue &amp; Messaging",IF(M243&lt;=18,"R4 Patient &amp; Platform",IF(M243&lt;=20,"R5 Harden","R6 Launch")))))</f>
        <v/>
      </c>
      <c r="O243" s="70">
        <f>L243*README!$B$32</f>
        <v/>
      </c>
      <c r="P243" s="68" t="inlineStr">
        <is>
          <t>NB-240, NB-238</t>
        </is>
      </c>
      <c r="Q243" s="68" t="inlineStr">
        <is>
          <t>Every consent and DPA version is retrievable with its timestamp</t>
        </is>
      </c>
      <c r="R243" s="68" t="inlineStr">
        <is>
          <t>Not started</t>
        </is>
      </c>
      <c r="S243" s="68" t="n"/>
    </row>
    <row r="244" ht="23.85" customHeight="1" s="51">
      <c r="A244" s="62" t="inlineStr">
        <is>
          <t>NB-243</t>
        </is>
      </c>
      <c r="B244" s="62" t="inlineStr">
        <is>
          <t>E21 Compliance, Consent &amp; Data Protection</t>
        </is>
      </c>
      <c r="C244" s="62" t="inlineStr">
        <is>
          <t>Compliance</t>
        </is>
      </c>
      <c r="D244" s="62" t="inlineStr">
        <is>
          <t>Patient rights self-service &amp; request queue</t>
        </is>
      </c>
      <c r="E244" s="62" t="inlineStr">
        <is>
          <t>Patient-initiated rights requests landing in a tracked clinic queue.</t>
        </is>
      </c>
      <c r="F244" s="62" t="inlineStr">
        <is>
          <t>CMP-03,PAT-14</t>
        </is>
      </c>
      <c r="G244" s="62" t="inlineStr">
        <is>
          <t>Owner,Patient</t>
        </is>
      </c>
      <c r="H244" s="62" t="inlineStr">
        <is>
          <t>Shared</t>
        </is>
      </c>
      <c r="I244" s="62" t="inlineStr">
        <is>
          <t>Fullstack</t>
        </is>
      </c>
      <c r="J244" s="66" t="inlineStr">
        <is>
          <t>Must</t>
        </is>
      </c>
      <c r="K244" s="66" t="inlineStr">
        <is>
          <t>MVP</t>
        </is>
      </c>
      <c r="L244" s="66" t="n">
        <v>8</v>
      </c>
      <c r="M244" s="66" t="n">
        <v>15</v>
      </c>
      <c r="N244" s="62">
        <f>IF(M244&lt;=4,"R1 Foundation",IF(M244&lt;=8,"R2 Core Clinic",IF(M244&lt;=13,"R3 Revenue &amp; Messaging",IF(M244&lt;=18,"R4 Patient &amp; Platform",IF(M244&lt;=20,"R5 Harden","R6 Launch")))))</f>
        <v/>
      </c>
      <c r="O244" s="67">
        <f>L244*README!$B$32</f>
        <v/>
      </c>
      <c r="P244" s="62" t="inlineStr">
        <is>
          <t>NB-242</t>
        </is>
      </c>
      <c r="Q244" s="62" t="inlineStr">
        <is>
          <t>A request raises a tracked case visible to the clinic and the DPO</t>
        </is>
      </c>
      <c r="R244" s="62" t="inlineStr">
        <is>
          <t>Not started</t>
        </is>
      </c>
      <c r="S244" s="62" t="n"/>
    </row>
    <row r="245" ht="23.85" customHeight="1" s="51">
      <c r="A245" s="68" t="inlineStr">
        <is>
          <t>NB-244</t>
        </is>
      </c>
      <c r="B245" s="68" t="inlineStr">
        <is>
          <t>E21 Compliance, Consent &amp; Data Protection</t>
        </is>
      </c>
      <c r="C245" s="68" t="inlineStr">
        <is>
          <t>Compliance</t>
        </is>
      </c>
      <c r="D245" s="68" t="inlineStr">
        <is>
          <t>DSR workflow engine with statutory timers</t>
        </is>
      </c>
      <c r="E245" s="68" t="inlineStr">
        <is>
          <t>A tracked case with a 90-day DPDP timer for India and a closure letter on completion.</t>
        </is>
      </c>
      <c r="F245" s="68" t="inlineStr">
        <is>
          <t>DPO-02,CMP-03,NFR-07</t>
        </is>
      </c>
      <c r="G245" s="68" t="inlineStr">
        <is>
          <t>Owner,Platform</t>
        </is>
      </c>
      <c r="H245" s="68" t="inlineStr">
        <is>
          <t>Shared</t>
        </is>
      </c>
      <c r="I245" s="68" t="inlineStr">
        <is>
          <t>Fullstack</t>
        </is>
      </c>
      <c r="J245" s="69" t="inlineStr">
        <is>
          <t>Must</t>
        </is>
      </c>
      <c r="K245" s="69" t="inlineStr">
        <is>
          <t>MVP</t>
        </is>
      </c>
      <c r="L245" s="69" t="n">
        <v>8</v>
      </c>
      <c r="M245" s="69" t="n">
        <v>16</v>
      </c>
      <c r="N245" s="68">
        <f>IF(M245&lt;=4,"R1 Foundation",IF(M245&lt;=8,"R2 Core Clinic",IF(M245&lt;=13,"R3 Revenue &amp; Messaging",IF(M245&lt;=18,"R4 Patient &amp; Platform",IF(M245&lt;=20,"R5 Harden","R6 Launch")))))</f>
        <v/>
      </c>
      <c r="O245" s="70">
        <f>L245*README!$B$32</f>
        <v/>
      </c>
      <c r="P245" s="68" t="inlineStr">
        <is>
          <t>NB-243, NB-308</t>
        </is>
      </c>
      <c r="Q245" s="68" t="inlineStr">
        <is>
          <t>Timer runs to the correct statutory deadline per region; closure letter generated automatically</t>
        </is>
      </c>
      <c r="R245" s="68" t="inlineStr">
        <is>
          <t>Not started</t>
        </is>
      </c>
      <c r="S245" s="68" t="n"/>
    </row>
    <row r="246" ht="23.85" customHeight="1" s="51">
      <c r="A246" s="62" t="inlineStr">
        <is>
          <t>NB-245</t>
        </is>
      </c>
      <c r="B246" s="62" t="inlineStr">
        <is>
          <t>E21 Compliance, Consent &amp; Data Protection</t>
        </is>
      </c>
      <c r="C246" s="62" t="inlineStr">
        <is>
          <t>Compliance</t>
        </is>
      </c>
      <c r="D246" s="62" t="inlineStr">
        <is>
          <t>Retention auto-rules with pre-delete notice</t>
        </is>
      </c>
      <c r="E246" s="62" t="inlineStr">
        <is>
          <t>Default schedules active from day one with no setup, plus a pre-delete notice. The full policy engine is Phase 2.</t>
        </is>
      </c>
      <c r="F246" s="62" t="inlineStr">
        <is>
          <t>CMP-05,DPO-05</t>
        </is>
      </c>
      <c r="G246" s="62" t="inlineStr">
        <is>
          <t>Owner</t>
        </is>
      </c>
      <c r="H246" s="62" t="inlineStr">
        <is>
          <t>Shared</t>
        </is>
      </c>
      <c r="I246" s="62" t="inlineStr">
        <is>
          <t>Backend</t>
        </is>
      </c>
      <c r="J246" s="66" t="inlineStr">
        <is>
          <t>Must</t>
        </is>
      </c>
      <c r="K246" s="66" t="inlineStr">
        <is>
          <t>MVP</t>
        </is>
      </c>
      <c r="L246" s="66" t="n">
        <v>8</v>
      </c>
      <c r="M246" s="66" t="n">
        <v>15</v>
      </c>
      <c r="N246" s="62">
        <f>IF(M246&lt;=4,"R1 Foundation",IF(M246&lt;=8,"R2 Core Clinic",IF(M246&lt;=13,"R3 Revenue &amp; Messaging",IF(M246&lt;=18,"R4 Patient &amp; Platform",IF(M246&lt;=20,"R5 Harden","R6 Launch")))))</f>
        <v/>
      </c>
      <c r="O246" s="67">
        <f>L246*README!$B$32</f>
        <v/>
      </c>
      <c r="P246" s="62" t="inlineStr">
        <is>
          <t>NB-255, NB-308</t>
        </is>
      </c>
      <c r="Q246" s="62" t="inlineStr">
        <is>
          <t>Defaults are active on day one; nothing is deleted without prior notice</t>
        </is>
      </c>
      <c r="R246" s="62" t="inlineStr">
        <is>
          <t>Not started</t>
        </is>
      </c>
      <c r="S246" s="62" t="n"/>
    </row>
    <row r="247" ht="23.85" customHeight="1" s="51">
      <c r="A247" s="68" t="inlineStr">
        <is>
          <t>NB-246</t>
        </is>
      </c>
      <c r="B247" s="68" t="inlineStr">
        <is>
          <t>E21 Compliance, Consent &amp; Data Protection</t>
        </is>
      </c>
      <c r="C247" s="68" t="inlineStr">
        <is>
          <t>Compliance</t>
        </is>
      </c>
      <c r="D247" s="68" t="inlineStr">
        <is>
          <t>Retention &amp; deletion policy engine</t>
        </is>
      </c>
      <c r="E247" s="68" t="inlineStr">
        <is>
          <t>The configurable policy engine behind the defaults.</t>
        </is>
      </c>
      <c r="F247" s="68" t="inlineStr">
        <is>
          <t>DPO-05</t>
        </is>
      </c>
      <c r="G247" s="68" t="inlineStr">
        <is>
          <t>Owner,Platform</t>
        </is>
      </c>
      <c r="H247" s="68" t="inlineStr">
        <is>
          <t>Shared</t>
        </is>
      </c>
      <c r="I247" s="68" t="inlineStr">
        <is>
          <t>Backend</t>
        </is>
      </c>
      <c r="J247" s="69" t="inlineStr">
        <is>
          <t>Should</t>
        </is>
      </c>
      <c r="K247" s="69" t="inlineStr">
        <is>
          <t>Phase 2</t>
        </is>
      </c>
      <c r="L247" s="69" t="n">
        <v>8</v>
      </c>
      <c r="M247" s="69" t="n">
        <v>20</v>
      </c>
      <c r="N247" s="68">
        <f>IF(M247&lt;=4,"R1 Foundation",IF(M247&lt;=8,"R2 Core Clinic",IF(M247&lt;=13,"R3 Revenue &amp; Messaging",IF(M247&lt;=18,"R4 Patient &amp; Platform",IF(M247&lt;=20,"R5 Harden","R6 Launch")))))</f>
        <v/>
      </c>
      <c r="O247" s="70">
        <f>L247*README!$B$32</f>
        <v/>
      </c>
      <c r="P247" s="68" t="inlineStr">
        <is>
          <t>NB-245</t>
        </is>
      </c>
      <c r="Q247" s="68" t="inlineStr">
        <is>
          <t>Policies are configurable per data class and never override a legal hold</t>
        </is>
      </c>
      <c r="R247" s="68" t="inlineStr">
        <is>
          <t>Not started</t>
        </is>
      </c>
      <c r="S247" s="68" t="n"/>
    </row>
    <row r="248" ht="23.85" customHeight="1" s="51">
      <c r="A248" s="62" t="inlineStr">
        <is>
          <t>NB-247</t>
        </is>
      </c>
      <c r="B248" s="62" t="inlineStr">
        <is>
          <t>E21 Compliance, Consent &amp; Data Protection</t>
        </is>
      </c>
      <c r="C248" s="62" t="inlineStr">
        <is>
          <t>Compliance</t>
        </is>
      </c>
      <c r="D248" s="62" t="inlineStr">
        <is>
          <t>Medical record retention &amp; legal hold</t>
        </is>
      </c>
      <c r="E248" s="62" t="inlineStr">
        <is>
          <t>Region-specific retention clocks with legal hold overriding erasure.</t>
        </is>
      </c>
      <c r="F248" s="62" t="inlineStr">
        <is>
          <t>NFR-07,DPO-05</t>
        </is>
      </c>
      <c r="G248" s="62" t="inlineStr">
        <is>
          <t>Owner</t>
        </is>
      </c>
      <c r="H248" s="62" t="inlineStr">
        <is>
          <t>Shared</t>
        </is>
      </c>
      <c r="I248" s="62" t="inlineStr">
        <is>
          <t>Backend</t>
        </is>
      </c>
      <c r="J248" s="66" t="inlineStr">
        <is>
          <t>Must</t>
        </is>
      </c>
      <c r="K248" s="66" t="inlineStr">
        <is>
          <t>MVP</t>
        </is>
      </c>
      <c r="L248" s="66" t="n">
        <v>5</v>
      </c>
      <c r="M248" s="66" t="n">
        <v>16</v>
      </c>
      <c r="N248" s="62">
        <f>IF(M248&lt;=4,"R1 Foundation",IF(M248&lt;=8,"R2 Core Clinic",IF(M248&lt;=13,"R3 Revenue &amp; Messaging",IF(M248&lt;=18,"R4 Patient &amp; Platform",IF(M248&lt;=20,"R5 Harden","R6 Launch")))))</f>
        <v/>
      </c>
      <c r="O248" s="67">
        <f>L248*README!$B$32</f>
        <v/>
      </c>
      <c r="P248" s="62" t="inlineStr">
        <is>
          <t>NB-245</t>
        </is>
      </c>
      <c r="Q248" s="62" t="inlineStr">
        <is>
          <t>The retention job never deletes a record under legal hold; 3-year export retention honoured</t>
        </is>
      </c>
      <c r="R248" s="62" t="inlineStr">
        <is>
          <t>Not started</t>
        </is>
      </c>
      <c r="S248" s="62" t="n"/>
    </row>
    <row r="249" ht="23.85" customHeight="1" s="51">
      <c r="A249" s="68" t="inlineStr">
        <is>
          <t>NB-248</t>
        </is>
      </c>
      <c r="B249" s="68" t="inlineStr">
        <is>
          <t>E21 Compliance, Consent &amp; Data Protection</t>
        </is>
      </c>
      <c r="C249" s="68" t="inlineStr">
        <is>
          <t>Compliance</t>
        </is>
      </c>
      <c r="D249" s="68" t="inlineStr">
        <is>
          <t>Breach-notification runbook &amp; clinic-facing ops</t>
        </is>
      </c>
      <c r="E249" s="68" t="inlineStr">
        <is>
          <t>Severity assessment and the regulatory notification workflow, exposed to the clinic.</t>
        </is>
      </c>
      <c r="F249" s="68" t="inlineStr">
        <is>
          <t>CMP-06</t>
        </is>
      </c>
      <c r="G249" s="68" t="inlineStr">
        <is>
          <t>Owner</t>
        </is>
      </c>
      <c r="H249" s="68" t="inlineStr">
        <is>
          <t>Shared</t>
        </is>
      </c>
      <c r="I249" s="68" t="inlineStr">
        <is>
          <t>Compliance</t>
        </is>
      </c>
      <c r="J249" s="69" t="inlineStr">
        <is>
          <t>Must</t>
        </is>
      </c>
      <c r="K249" s="69" t="inlineStr">
        <is>
          <t>MVP</t>
        </is>
      </c>
      <c r="L249" s="69" t="n">
        <v>5</v>
      </c>
      <c r="M249" s="69" t="n">
        <v>17</v>
      </c>
      <c r="N249" s="68">
        <f>IF(M249&lt;=4,"R1 Foundation",IF(M249&lt;=8,"R2 Core Clinic",IF(M249&lt;=13,"R3 Revenue &amp; Messaging",IF(M249&lt;=18,"R4 Patient &amp; Platform",IF(M249&lt;=20,"R5 Harden","R6 Launch")))))</f>
        <v/>
      </c>
      <c r="O249" s="70">
        <f>L249*README!$B$32</f>
        <v/>
      </c>
      <c r="P249" s="68" t="inlineStr">
        <is>
          <t>NB-293</t>
        </is>
      </c>
      <c r="Q249" s="68" t="inlineStr">
        <is>
          <t>Runbook exercised in a tabletop; notification deadlines documented per region</t>
        </is>
      </c>
      <c r="R249" s="68" t="inlineStr">
        <is>
          <t>Not started</t>
        </is>
      </c>
      <c r="S249" s="68" t="n"/>
    </row>
    <row r="250" ht="23.85" customHeight="1" s="51">
      <c r="A250" s="62" t="inlineStr">
        <is>
          <t>NB-249</t>
        </is>
      </c>
      <c r="B250" s="62" t="inlineStr">
        <is>
          <t>E21 Compliance, Consent &amp; Data Protection</t>
        </is>
      </c>
      <c r="C250" s="62" t="inlineStr">
        <is>
          <t>Compliance</t>
        </is>
      </c>
      <c r="D250" s="62" t="inlineStr">
        <is>
          <t>Platform breach management operations</t>
        </is>
      </c>
      <c r="E250" s="62" t="inlineStr">
        <is>
          <t>The platform-side incident and breach operations console.</t>
        </is>
      </c>
      <c r="F250" s="62" t="inlineStr">
        <is>
          <t>DPO-03,SSA-05</t>
        </is>
      </c>
      <c r="G250" s="62" t="inlineStr">
        <is>
          <t>Platform</t>
        </is>
      </c>
      <c r="H250" s="62" t="inlineStr">
        <is>
          <t>Platform</t>
        </is>
      </c>
      <c r="I250" s="62" t="inlineStr">
        <is>
          <t>Fullstack</t>
        </is>
      </c>
      <c r="J250" s="66" t="inlineStr">
        <is>
          <t>Must</t>
        </is>
      </c>
      <c r="K250" s="66" t="inlineStr">
        <is>
          <t>MVP</t>
        </is>
      </c>
      <c r="L250" s="66" t="n">
        <v>5</v>
      </c>
      <c r="M250" s="66" t="n">
        <v>18</v>
      </c>
      <c r="N250" s="62">
        <f>IF(M250&lt;=4,"R1 Foundation",IF(M250&lt;=8,"R2 Core Clinic",IF(M250&lt;=13,"R3 Revenue &amp; Messaging",IF(M250&lt;=18,"R4 Patient &amp; Platform",IF(M250&lt;=20,"R5 Harden","R6 Launch")))))</f>
        <v/>
      </c>
      <c r="O250" s="67">
        <f>L250*README!$B$32</f>
        <v/>
      </c>
      <c r="P250" s="62" t="inlineStr">
        <is>
          <t>NB-248, NB-265</t>
        </is>
      </c>
      <c r="Q250" s="62" t="inlineStr">
        <is>
          <t>Every breach case is tracked with owner, clock and regulator status</t>
        </is>
      </c>
      <c r="R250" s="62" t="inlineStr">
        <is>
          <t>Not started</t>
        </is>
      </c>
      <c r="S250" s="62" t="n"/>
    </row>
    <row r="251" ht="23.85" customHeight="1" s="51">
      <c r="A251" s="68" t="inlineStr">
        <is>
          <t>NB-250</t>
        </is>
      </c>
      <c r="B251" s="68" t="inlineStr">
        <is>
          <t>E21 Compliance, Consent &amp; Data Protection</t>
        </is>
      </c>
      <c r="C251" s="68" t="inlineStr">
        <is>
          <t>Compliance</t>
        </is>
      </c>
      <c r="D251" s="68" t="inlineStr">
        <is>
          <t>Licence &amp; credential expiry tracker</t>
        </is>
      </c>
      <c r="E251" s="68" t="inlineStr">
        <is>
          <t>Manual date entry with no verification integration in this release. An expired clinician disappears from online booking until renewed.</t>
        </is>
      </c>
      <c r="F251" s="68" t="inlineStr">
        <is>
          <t>CMP-11,PAT-03,DOC-03</t>
        </is>
      </c>
      <c r="G251" s="68" t="inlineStr">
        <is>
          <t>Owner</t>
        </is>
      </c>
      <c r="H251" s="68" t="inlineStr">
        <is>
          <t>Clinic</t>
        </is>
      </c>
      <c r="I251" s="68" t="inlineStr">
        <is>
          <t>Fullstack</t>
        </is>
      </c>
      <c r="J251" s="69" t="inlineStr">
        <is>
          <t>Must</t>
        </is>
      </c>
      <c r="K251" s="69" t="inlineStr">
        <is>
          <t>MVP</t>
        </is>
      </c>
      <c r="L251" s="69" t="n">
        <v>8</v>
      </c>
      <c r="M251" s="69" t="n">
        <v>14</v>
      </c>
      <c r="N251" s="68">
        <f>IF(M251&lt;=4,"R1 Foundation",IF(M251&lt;=8,"R2 Core Clinic",IF(M251&lt;=13,"R3 Revenue &amp; Messaging",IF(M251&lt;=18,"R4 Patient &amp; Platform",IF(M251&lt;=20,"R5 Harden","R6 Launch")))))</f>
        <v/>
      </c>
      <c r="O251" s="70">
        <f>L251*README!$B$32</f>
        <v/>
      </c>
      <c r="P251" s="68" t="inlineStr">
        <is>
          <t>NB-070, NB-091</t>
        </is>
      </c>
      <c r="Q251" s="68" t="inlineStr">
        <is>
          <t>An expired licence removes the clinician from online booking and blocks the claim pack</t>
        </is>
      </c>
      <c r="R251" s="68" t="inlineStr">
        <is>
          <t>Not started</t>
        </is>
      </c>
      <c r="S251" s="68" t="n"/>
    </row>
    <row r="252" ht="23.85" customHeight="1" s="51">
      <c r="A252" s="62" t="inlineStr">
        <is>
          <t>NB-251</t>
        </is>
      </c>
      <c r="B252" s="62" t="inlineStr">
        <is>
          <t>E21 Compliance, Consent &amp; Data Protection</t>
        </is>
      </c>
      <c r="C252" s="62" t="inlineStr">
        <is>
          <t>Compliance</t>
        </is>
      </c>
      <c r="D252" s="62" t="inlineStr">
        <is>
          <t>Compliance health card &amp; grievance officer setup</t>
        </is>
      </c>
      <c r="E252" s="62" t="inlineStr">
        <is>
          <t>One traffic-light card with no legal jargon, plus grievance officer configuration.</t>
        </is>
      </c>
      <c r="F252" s="62" t="inlineStr">
        <is>
          <t>CMP-12</t>
        </is>
      </c>
      <c r="G252" s="62" t="inlineStr">
        <is>
          <t>Owner</t>
        </is>
      </c>
      <c r="H252" s="62" t="inlineStr">
        <is>
          <t>Clinic</t>
        </is>
      </c>
      <c r="I252" s="62" t="inlineStr">
        <is>
          <t>Frontend</t>
        </is>
      </c>
      <c r="J252" s="66" t="inlineStr">
        <is>
          <t>Should</t>
        </is>
      </c>
      <c r="K252" s="66" t="inlineStr">
        <is>
          <t>Phase 2</t>
        </is>
      </c>
      <c r="L252" s="66" t="n">
        <v>5</v>
      </c>
      <c r="M252" s="66" t="n">
        <v>19</v>
      </c>
      <c r="N252" s="62">
        <f>IF(M252&lt;=4,"R1 Foundation",IF(M252&lt;=8,"R2 Core Clinic",IF(M252&lt;=13,"R3 Revenue &amp; Messaging",IF(M252&lt;=18,"R4 Patient &amp; Platform",IF(M252&lt;=20,"R5 Harden","R6 Launch")))))</f>
        <v/>
      </c>
      <c r="O252" s="67">
        <f>L252*README!$B$32</f>
        <v/>
      </c>
      <c r="P252" s="62" t="inlineStr">
        <is>
          <t>NB-250, NB-244</t>
        </is>
      </c>
      <c r="Q252" s="62" t="inlineStr">
        <is>
          <t>A non-lawyer owner can read their compliance position at a glance</t>
        </is>
      </c>
      <c r="R252" s="62" t="inlineStr">
        <is>
          <t>Not started</t>
        </is>
      </c>
      <c r="S252" s="62" t="n"/>
    </row>
    <row r="253" ht="23.85" customHeight="1" s="51">
      <c r="A253" s="68" t="inlineStr">
        <is>
          <t>NB-252</t>
        </is>
      </c>
      <c r="B253" s="68" t="inlineStr">
        <is>
          <t>E21 Compliance, Consent &amp; Data Protection</t>
        </is>
      </c>
      <c r="C253" s="68" t="inlineStr">
        <is>
          <t>Compliance</t>
        </is>
      </c>
      <c r="D253" s="68" t="inlineStr">
        <is>
          <t>Child-data protection controls</t>
        </is>
      </c>
      <c r="E253" s="68" t="inlineStr">
        <is>
          <t>Child protection flag propagated to every module, mirrored platform-side.</t>
        </is>
      </c>
      <c r="F253" s="68" t="inlineStr">
        <is>
          <t>DPO-09,CMP-04</t>
        </is>
      </c>
      <c r="G253" s="68" t="inlineStr">
        <is>
          <t>All</t>
        </is>
      </c>
      <c r="H253" s="68" t="inlineStr">
        <is>
          <t>Shared</t>
        </is>
      </c>
      <c r="I253" s="68" t="inlineStr">
        <is>
          <t>Backend</t>
        </is>
      </c>
      <c r="J253" s="69" t="inlineStr">
        <is>
          <t>Must</t>
        </is>
      </c>
      <c r="K253" s="69" t="inlineStr">
        <is>
          <t>MVP</t>
        </is>
      </c>
      <c r="L253" s="69" t="n">
        <v>5</v>
      </c>
      <c r="M253" s="69" t="n">
        <v>14</v>
      </c>
      <c r="N253" s="68">
        <f>IF(M253&lt;=4,"R1 Foundation",IF(M253&lt;=8,"R2 Core Clinic",IF(M253&lt;=13,"R3 Revenue &amp; Messaging",IF(M253&lt;=18,"R4 Patient &amp; Platform",IF(M253&lt;=20,"R5 Harden","R6 Launch")))))</f>
        <v/>
      </c>
      <c r="O253" s="70">
        <f>L253*README!$B$32</f>
        <v/>
      </c>
      <c r="P253" s="68" t="inlineStr">
        <is>
          <t>NB-053</t>
        </is>
      </c>
      <c r="Q253" s="68" t="inlineStr">
        <is>
          <t>The flag is enforced in every module, not only in messaging</t>
        </is>
      </c>
      <c r="R253" s="68" t="inlineStr">
        <is>
          <t>Not started</t>
        </is>
      </c>
      <c r="S253" s="68" t="n"/>
    </row>
    <row r="254" ht="23.85" customHeight="1" s="51">
      <c r="A254" s="62" t="inlineStr">
        <is>
          <t>NB-253</t>
        </is>
      </c>
      <c r="B254" s="62" t="inlineStr">
        <is>
          <t>E21 Compliance, Consent &amp; Data Protection</t>
        </is>
      </c>
      <c r="C254" s="62" t="inlineStr">
        <is>
          <t>Compliance</t>
        </is>
      </c>
      <c r="D254" s="62" t="inlineStr">
        <is>
          <t>India DPDP Act 2023 compliance pack</t>
        </is>
      </c>
      <c r="E254" s="62" t="inlineStr">
        <is>
          <t>Consent, notice, data-principal rights, grievance officer and breach reporting.</t>
        </is>
      </c>
      <c r="F254" s="62" t="inlineStr">
        <is>
          <t>CMP-03,DPO-02,NFR-07</t>
        </is>
      </c>
      <c r="G254" s="62" t="inlineStr">
        <is>
          <t>Owner,Platform</t>
        </is>
      </c>
      <c r="H254" s="62" t="inlineStr">
        <is>
          <t>Shared</t>
        </is>
      </c>
      <c r="I254" s="62" t="inlineStr">
        <is>
          <t>Compliance</t>
        </is>
      </c>
      <c r="J254" s="66" t="inlineStr">
        <is>
          <t>Must</t>
        </is>
      </c>
      <c r="K254" s="66" t="inlineStr">
        <is>
          <t>MVP</t>
        </is>
      </c>
      <c r="L254" s="66" t="n">
        <v>8</v>
      </c>
      <c r="M254" s="66" t="n">
        <v>17</v>
      </c>
      <c r="N254" s="62">
        <f>IF(M254&lt;=4,"R1 Foundation",IF(M254&lt;=8,"R2 Core Clinic",IF(M254&lt;=13,"R3 Revenue &amp; Messaging",IF(M254&lt;=18,"R4 Patient &amp; Platform",IF(M254&lt;=20,"R5 Harden","R6 Launch")))))</f>
        <v/>
      </c>
      <c r="O254" s="67">
        <f>L254*README!$B$32</f>
        <v/>
      </c>
      <c r="P254" s="62" t="inlineStr">
        <is>
          <t>NB-244, NB-242</t>
        </is>
      </c>
      <c r="Q254" s="62" t="inlineStr">
        <is>
          <t>Legal review sign-off for India</t>
        </is>
      </c>
      <c r="R254" s="62" t="inlineStr">
        <is>
          <t>Not started</t>
        </is>
      </c>
      <c r="S254" s="62" t="n"/>
    </row>
    <row r="255" ht="23.85" customHeight="1" s="51">
      <c r="A255" s="68" t="inlineStr">
        <is>
          <t>NB-254</t>
        </is>
      </c>
      <c r="B255" s="68" t="inlineStr">
        <is>
          <t>E21 Compliance, Consent &amp; Data Protection</t>
        </is>
      </c>
      <c r="C255" s="68" t="inlineStr">
        <is>
          <t>Compliance</t>
        </is>
      </c>
      <c r="D255" s="68" t="inlineStr">
        <is>
          <t>Saudi PDPL &amp; SDAIA compliance pack</t>
        </is>
      </c>
      <c r="E255" s="68" t="inlineStr">
        <is>
          <t>Residency, controller obligations, cross-border rules and retention.</t>
        </is>
      </c>
      <c r="F255" s="68" t="inlineStr">
        <is>
          <t>NFR-04,SYS-14</t>
        </is>
      </c>
      <c r="G255" s="68" t="inlineStr">
        <is>
          <t>Owner,Platform</t>
        </is>
      </c>
      <c r="H255" s="68" t="inlineStr">
        <is>
          <t>Shared</t>
        </is>
      </c>
      <c r="I255" s="68" t="inlineStr">
        <is>
          <t>Compliance</t>
        </is>
      </c>
      <c r="J255" s="69" t="inlineStr">
        <is>
          <t>Must</t>
        </is>
      </c>
      <c r="K255" s="69" t="inlineStr">
        <is>
          <t>MVP</t>
        </is>
      </c>
      <c r="L255" s="69" t="n">
        <v>8</v>
      </c>
      <c r="M255" s="69" t="n">
        <v>17</v>
      </c>
      <c r="N255" s="68">
        <f>IF(M255&lt;=4,"R1 Foundation",IF(M255&lt;=8,"R2 Core Clinic",IF(M255&lt;=13,"R3 Revenue &amp; Messaging",IF(M255&lt;=18,"R4 Patient &amp; Platform",IF(M255&lt;=20,"R5 Harden","R6 Launch")))))</f>
        <v/>
      </c>
      <c r="O255" s="70">
        <f>L255*README!$B$32</f>
        <v/>
      </c>
      <c r="P255" s="68" t="inlineStr">
        <is>
          <t>NB-271, NB-242</t>
        </is>
      </c>
      <c r="Q255" s="68" t="inlineStr">
        <is>
          <t>Legal review sign-off for KSA; region lock evidenced</t>
        </is>
      </c>
      <c r="R255" s="68" t="inlineStr">
        <is>
          <t>Not started</t>
        </is>
      </c>
      <c r="S255" s="68" t="n"/>
    </row>
    <row r="256" ht="23.85" customHeight="1" s="51">
      <c r="A256" s="62" t="inlineStr">
        <is>
          <t>NB-255</t>
        </is>
      </c>
      <c r="B256" s="62" t="inlineStr">
        <is>
          <t>E21 Compliance, Consent &amp; Data Protection</t>
        </is>
      </c>
      <c r="C256" s="62" t="inlineStr">
        <is>
          <t>Compliance</t>
        </is>
      </c>
      <c r="D256" s="62" t="inlineStr">
        <is>
          <t>Data classification &amp; handling standard</t>
        </is>
      </c>
      <c r="E256" s="62" t="inlineStr">
        <is>
          <t>PHI, PII, financial and operational tiers with handling rules per tier.</t>
        </is>
      </c>
      <c r="F256" s="62" t="n"/>
      <c r="G256" s="62" t="inlineStr">
        <is>
          <t>All</t>
        </is>
      </c>
      <c r="H256" s="62" t="inlineStr">
        <is>
          <t>Shared</t>
        </is>
      </c>
      <c r="I256" s="62" t="inlineStr">
        <is>
          <t>Compliance</t>
        </is>
      </c>
      <c r="J256" s="66" t="inlineStr">
        <is>
          <t>Must</t>
        </is>
      </c>
      <c r="K256" s="66" t="inlineStr">
        <is>
          <t>MVP</t>
        </is>
      </c>
      <c r="L256" s="66" t="n">
        <v>3</v>
      </c>
      <c r="M256" s="66" t="n">
        <v>6</v>
      </c>
      <c r="N256" s="62">
        <f>IF(M256&lt;=4,"R1 Foundation",IF(M256&lt;=8,"R2 Core Clinic",IF(M256&lt;=13,"R3 Revenue &amp; Messaging",IF(M256&lt;=18,"R4 Patient &amp; Platform",IF(M256&lt;=20,"R5 Harden","R6 Launch")))))</f>
        <v/>
      </c>
      <c r="O256" s="67">
        <f>L256*README!$B$32</f>
        <v/>
      </c>
      <c r="P256" s="62" t="inlineStr">
        <is>
          <t>NB-003</t>
        </is>
      </c>
      <c r="Q256" s="62" t="inlineStr">
        <is>
          <t>Every table and log field is classified</t>
        </is>
      </c>
      <c r="R256" s="62" t="inlineStr">
        <is>
          <t>Not started</t>
        </is>
      </c>
      <c r="S256" s="62" t="n"/>
    </row>
    <row r="257" ht="23.85" customHeight="1" s="51">
      <c r="A257" s="68" t="inlineStr">
        <is>
          <t>NB-256</t>
        </is>
      </c>
      <c r="B257" s="68" t="inlineStr">
        <is>
          <t>E21 Compliance, Consent &amp; Data Protection</t>
        </is>
      </c>
      <c r="C257" s="68" t="inlineStr">
        <is>
          <t>Compliance</t>
        </is>
      </c>
      <c r="D257" s="68" t="inlineStr">
        <is>
          <t>Regulatory watch</t>
        </is>
      </c>
      <c r="E257" s="68" t="inlineStr">
        <is>
          <t>Tracking regulatory change across both markets and routing it into the backlog.</t>
        </is>
      </c>
      <c r="F257" s="68" t="inlineStr">
        <is>
          <t>SSA-11</t>
        </is>
      </c>
      <c r="G257" s="68" t="inlineStr">
        <is>
          <t>Platform</t>
        </is>
      </c>
      <c r="H257" s="68" t="inlineStr">
        <is>
          <t>Platform</t>
        </is>
      </c>
      <c r="I257" s="68" t="inlineStr">
        <is>
          <t>Compliance</t>
        </is>
      </c>
      <c r="J257" s="69" t="inlineStr">
        <is>
          <t>Should</t>
        </is>
      </c>
      <c r="K257" s="69" t="inlineStr">
        <is>
          <t>Phase 2</t>
        </is>
      </c>
      <c r="L257" s="69" t="n">
        <v>5</v>
      </c>
      <c r="M257" s="69" t="n">
        <v>20</v>
      </c>
      <c r="N257" s="68">
        <f>IF(M257&lt;=4,"R1 Foundation",IF(M257&lt;=8,"R2 Core Clinic",IF(M257&lt;=13,"R3 Revenue &amp; Messaging",IF(M257&lt;=18,"R4 Patient &amp; Platform",IF(M257&lt;=20,"R5 Harden","R6 Launch")))))</f>
        <v/>
      </c>
      <c r="O257" s="70">
        <f>L257*README!$B$32</f>
        <v/>
      </c>
      <c r="P257" s="68" t="inlineStr">
        <is>
          <t>NB-272</t>
        </is>
      </c>
      <c r="Q257" s="68" t="inlineStr">
        <is>
          <t>A regulatory change produces a tracked backlog item with an owner and a deadline</t>
        </is>
      </c>
      <c r="R257" s="68" t="inlineStr">
        <is>
          <t>Not started</t>
        </is>
      </c>
      <c r="S257" s="68" t="n"/>
    </row>
    <row r="258" ht="35.05" customHeight="1" s="51">
      <c r="A258" s="62" t="inlineStr">
        <is>
          <t>NB-257</t>
        </is>
      </c>
      <c r="B258" s="62" t="inlineStr">
        <is>
          <t>E22 Platform Console — SaaS Operations</t>
        </is>
      </c>
      <c r="C258" s="62" t="inlineStr">
        <is>
          <t>Platform</t>
        </is>
      </c>
      <c r="D258" s="62" t="inlineStr">
        <is>
          <t>Seven SaaS operator roles</t>
        </is>
      </c>
      <c r="E258" s="62" t="inlineStr">
        <is>
          <t>Super admin, Implementation, Support engineer, Billing, SRE, Commercial read-only and Compliance/DPO. No single super-admin does everything.</t>
        </is>
      </c>
      <c r="F258" s="62" t="inlineStr">
        <is>
          <t>SSA-02</t>
        </is>
      </c>
      <c r="G258" s="62" t="inlineStr">
        <is>
          <t>Platform</t>
        </is>
      </c>
      <c r="H258" s="62" t="inlineStr">
        <is>
          <t>Platform</t>
        </is>
      </c>
      <c r="I258" s="62" t="inlineStr">
        <is>
          <t>Backend</t>
        </is>
      </c>
      <c r="J258" s="66" t="inlineStr">
        <is>
          <t>Must</t>
        </is>
      </c>
      <c r="K258" s="66" t="inlineStr">
        <is>
          <t>MVP</t>
        </is>
      </c>
      <c r="L258" s="66" t="n">
        <v>8</v>
      </c>
      <c r="M258" s="66" t="n">
        <v>6</v>
      </c>
      <c r="N258" s="62">
        <f>IF(M258&lt;=4,"R1 Foundation",IF(M258&lt;=8,"R2 Core Clinic",IF(M258&lt;=13,"R3 Revenue &amp; Messaging",IF(M258&lt;=18,"R4 Patient &amp; Platform",IF(M258&lt;=20,"R5 Harden","R6 Launch")))))</f>
        <v/>
      </c>
      <c r="O258" s="67">
        <f>L258*README!$B$32</f>
        <v/>
      </c>
      <c r="P258" s="62" t="inlineStr">
        <is>
          <t>NB-050, NB-017</t>
        </is>
      </c>
      <c r="Q258" s="62" t="inlineStr">
        <is>
          <t>Each role sees only its own navigation; create buttons do not exist for roles without create rights</t>
        </is>
      </c>
      <c r="R258" s="62" t="inlineStr">
        <is>
          <t>Done</t>
        </is>
      </c>
      <c r="S258" s="62" t="n"/>
    </row>
    <row r="259" ht="35.05" customHeight="1" s="51">
      <c r="A259" s="68" t="inlineStr">
        <is>
          <t>NB-258</t>
        </is>
      </c>
      <c r="B259" s="68" t="inlineStr">
        <is>
          <t>E22 Platform Console — SaaS Operations</t>
        </is>
      </c>
      <c r="C259" s="68" t="inlineStr">
        <is>
          <t>Platform</t>
        </is>
      </c>
      <c r="D259" s="68" t="inlineStr">
        <is>
          <t>Provisioning as a job queue, not a wizard</t>
        </is>
      </c>
      <c r="E259" s="68" t="inlineStr">
        <is>
          <t>A provisioning job is an object with six steps: create tenant, migrate schema, seed masters, provision WhatsApp, verify and invite owner, go live.</t>
        </is>
      </c>
      <c r="F259" s="68" t="inlineStr">
        <is>
          <t>SSA-01,SYS-21</t>
        </is>
      </c>
      <c r="G259" s="68" t="inlineStr">
        <is>
          <t>Platform</t>
        </is>
      </c>
      <c r="H259" s="68" t="inlineStr">
        <is>
          <t>Platform</t>
        </is>
      </c>
      <c r="I259" s="68" t="inlineStr">
        <is>
          <t>Backend</t>
        </is>
      </c>
      <c r="J259" s="69" t="inlineStr">
        <is>
          <t>Must</t>
        </is>
      </c>
      <c r="K259" s="69" t="inlineStr">
        <is>
          <t>MVP</t>
        </is>
      </c>
      <c r="L259" s="69" t="n">
        <v>13</v>
      </c>
      <c r="M259" s="69" t="n">
        <v>7</v>
      </c>
      <c r="N259" s="68">
        <f>IF(M259&lt;=4,"R1 Foundation",IF(M259&lt;=8,"R2 Core Clinic",IF(M259&lt;=13,"R3 Revenue &amp; Messaging",IF(M259&lt;=18,"R4 Patient &amp; Platform",IF(M259&lt;=20,"R5 Harden","R6 Launch")))))</f>
        <v/>
      </c>
      <c r="O259" s="70">
        <f>L259*README!$B$32</f>
        <v/>
      </c>
      <c r="P259" s="68" t="inlineStr">
        <is>
          <t>NB-002, NB-257</t>
        </is>
      </c>
      <c r="Q259" s="68" t="inlineStr">
        <is>
          <t>A job is resumable and inspectable at every step; state is queued/running/done/failed/rolled back</t>
        </is>
      </c>
      <c r="R259" s="68" t="inlineStr">
        <is>
          <t>Done</t>
        </is>
      </c>
      <c r="S259" s="68" t="n"/>
    </row>
    <row r="260" ht="23.85" customHeight="1" s="51">
      <c r="A260" s="62" t="inlineStr">
        <is>
          <t>NB-259</t>
        </is>
      </c>
      <c r="B260" s="62" t="inlineStr">
        <is>
          <t>E22 Platform Console — SaaS Operations</t>
        </is>
      </c>
      <c r="C260" s="62" t="inlineStr">
        <is>
          <t>Platform</t>
        </is>
      </c>
      <c r="D260" s="62" t="inlineStr">
        <is>
          <t>Provisioning failure &amp; automatic rollback</t>
        </is>
      </c>
      <c r="E260" s="62" t="inlineStr">
        <is>
          <t>A failed step rolls back cleanly with no half-created tenant, and the error is stated plainly.</t>
        </is>
      </c>
      <c r="F260" s="62" t="inlineStr">
        <is>
          <t>SSA-01</t>
        </is>
      </c>
      <c r="G260" s="62" t="inlineStr">
        <is>
          <t>Platform</t>
        </is>
      </c>
      <c r="H260" s="62" t="inlineStr">
        <is>
          <t>Platform</t>
        </is>
      </c>
      <c r="I260" s="62" t="inlineStr">
        <is>
          <t>Backend</t>
        </is>
      </c>
      <c r="J260" s="66" t="inlineStr">
        <is>
          <t>Must</t>
        </is>
      </c>
      <c r="K260" s="66" t="inlineStr">
        <is>
          <t>MVP</t>
        </is>
      </c>
      <c r="L260" s="66" t="n">
        <v>8</v>
      </c>
      <c r="M260" s="66" t="n">
        <v>10</v>
      </c>
      <c r="N260" s="62">
        <f>IF(M260&lt;=4,"R1 Foundation",IF(M260&lt;=8,"R2 Core Clinic",IF(M260&lt;=13,"R3 Revenue &amp; Messaging",IF(M260&lt;=18,"R4 Patient &amp; Platform",IF(M260&lt;=20,"R5 Harden","R6 Launch")))))</f>
        <v/>
      </c>
      <c r="O260" s="67">
        <f>L260*README!$B$32</f>
        <v/>
      </c>
      <c r="P260" s="62" t="inlineStr">
        <is>
          <t>NB-258</t>
        </is>
      </c>
      <c r="Q260" s="62" t="inlineStr">
        <is>
          <t>A region-mismatch failure rolls back with no tenant created and a readable error</t>
        </is>
      </c>
      <c r="R260" s="62" t="inlineStr">
        <is>
          <t>Done</t>
        </is>
      </c>
      <c r="S260" s="62" t="n"/>
    </row>
    <row r="261" ht="23.85" customHeight="1" s="51">
      <c r="A261" s="68" t="inlineStr">
        <is>
          <t>NB-260</t>
        </is>
      </c>
      <c r="B261" s="68" t="inlineStr">
        <is>
          <t>E22 Platform Console — SaaS Operations</t>
        </is>
      </c>
      <c r="C261" s="68" t="inlineStr">
        <is>
          <t>Platform</t>
        </is>
      </c>
      <c r="D261" s="68" t="inlineStr">
        <is>
          <t>Self-serve versus enterprise provisioning paths</t>
        </is>
      </c>
      <c r="E261" s="68" t="inlineStr">
        <is>
          <t>Both paths run through the same job engine with different approval gates.</t>
        </is>
      </c>
      <c r="F261" s="68" t="inlineStr">
        <is>
          <t>SSA-01,SCS-01</t>
        </is>
      </c>
      <c r="G261" s="68" t="inlineStr">
        <is>
          <t>Platform</t>
        </is>
      </c>
      <c r="H261" s="68" t="inlineStr">
        <is>
          <t>Platform</t>
        </is>
      </c>
      <c r="I261" s="68" t="inlineStr">
        <is>
          <t>Backend</t>
        </is>
      </c>
      <c r="J261" s="69" t="inlineStr">
        <is>
          <t>Must</t>
        </is>
      </c>
      <c r="K261" s="69" t="inlineStr">
        <is>
          <t>MVP</t>
        </is>
      </c>
      <c r="L261" s="69" t="n">
        <v>5</v>
      </c>
      <c r="M261" s="69" t="n">
        <v>10</v>
      </c>
      <c r="N261" s="68">
        <f>IF(M261&lt;=4,"R1 Foundation",IF(M261&lt;=8,"R2 Core Clinic",IF(M261&lt;=13,"R3 Revenue &amp; Messaging",IF(M261&lt;=18,"R4 Patient &amp; Platform",IF(M261&lt;=20,"R5 Harden","R6 Launch")))))</f>
        <v/>
      </c>
      <c r="O261" s="70">
        <f>L261*README!$B$32</f>
        <v/>
      </c>
      <c r="P261" s="68" t="inlineStr">
        <is>
          <t>NB-258</t>
        </is>
      </c>
      <c r="Q261" s="68" t="inlineStr">
        <is>
          <t>Both paths produce identical tenant state; only the gates differ</t>
        </is>
      </c>
      <c r="R261" s="68" t="inlineStr">
        <is>
          <t>Done</t>
        </is>
      </c>
      <c r="S261" s="68" t="n"/>
    </row>
    <row r="262" ht="23.85" customHeight="1" s="51">
      <c r="A262" s="62" t="inlineStr">
        <is>
          <t>NB-261</t>
        </is>
      </c>
      <c r="B262" s="62" t="inlineStr">
        <is>
          <t>E22 Platform Console — SaaS Operations</t>
        </is>
      </c>
      <c r="C262" s="62" t="inlineStr">
        <is>
          <t>Platform</t>
        </is>
      </c>
      <c r="D262" s="62" t="inlineStr">
        <is>
          <t>Tenant lifecycle — seven audited states</t>
        </is>
      </c>
      <c r="E262" s="62" t="inlineStr">
        <is>
          <t>Trialing through to offboarded, with every transition audited.</t>
        </is>
      </c>
      <c r="F262" s="62" t="inlineStr">
        <is>
          <t>DPO-04,SSA-01</t>
        </is>
      </c>
      <c r="G262" s="62" t="inlineStr">
        <is>
          <t>Platform</t>
        </is>
      </c>
      <c r="H262" s="62" t="inlineStr">
        <is>
          <t>Platform</t>
        </is>
      </c>
      <c r="I262" s="62" t="inlineStr">
        <is>
          <t>Backend</t>
        </is>
      </c>
      <c r="J262" s="66" t="inlineStr">
        <is>
          <t>Must</t>
        </is>
      </c>
      <c r="K262" s="66" t="inlineStr">
        <is>
          <t>MVP</t>
        </is>
      </c>
      <c r="L262" s="66" t="n">
        <v>5</v>
      </c>
      <c r="M262" s="66" t="n">
        <v>7</v>
      </c>
      <c r="N262" s="62">
        <f>IF(M262&lt;=4,"R1 Foundation",IF(M262&lt;=8,"R2 Core Clinic",IF(M262&lt;=13,"R3 Revenue &amp; Messaging",IF(M262&lt;=18,"R4 Patient &amp; Platform",IF(M262&lt;=20,"R5 Harden","R6 Launch")))))</f>
        <v/>
      </c>
      <c r="O262" s="67">
        <f>L262*README!$B$32</f>
        <v/>
      </c>
      <c r="P262" s="62" t="inlineStr">
        <is>
          <t>NB-258</t>
        </is>
      </c>
      <c r="Q262" s="62" t="inlineStr">
        <is>
          <t>All seven states implemented; every transition writes an audit event</t>
        </is>
      </c>
      <c r="R262" s="62" t="inlineStr">
        <is>
          <t>Done</t>
        </is>
      </c>
      <c r="S262" s="62" t="n"/>
    </row>
    <row r="263" ht="23.85" customHeight="1" s="51">
      <c r="A263" s="68" t="inlineStr">
        <is>
          <t>NB-262</t>
        </is>
      </c>
      <c r="B263" s="68" t="inlineStr">
        <is>
          <t>E22 Platform Console — SaaS Operations</t>
        </is>
      </c>
      <c r="C263" s="68" t="inlineStr">
        <is>
          <t>Platform</t>
        </is>
      </c>
      <c r="D263" s="68" t="inlineStr">
        <is>
          <t>Clinic fleet console</t>
        </is>
      </c>
      <c r="E263" s="68" t="inlineStr">
        <is>
          <t>Health, usage, plan, region and incident flags across every tenant.</t>
        </is>
      </c>
      <c r="F263" s="68" t="inlineStr">
        <is>
          <t>SSA-01,SSA-06</t>
        </is>
      </c>
      <c r="G263" s="68" t="inlineStr">
        <is>
          <t>Platform</t>
        </is>
      </c>
      <c r="H263" s="68" t="inlineStr">
        <is>
          <t>Platform</t>
        </is>
      </c>
      <c r="I263" s="68" t="inlineStr">
        <is>
          <t>Frontend</t>
        </is>
      </c>
      <c r="J263" s="69" t="inlineStr">
        <is>
          <t>Must</t>
        </is>
      </c>
      <c r="K263" s="69" t="inlineStr">
        <is>
          <t>MVP</t>
        </is>
      </c>
      <c r="L263" s="69" t="n">
        <v>8</v>
      </c>
      <c r="M263" s="69" t="n">
        <v>12</v>
      </c>
      <c r="N263" s="68">
        <f>IF(M263&lt;=4,"R1 Foundation",IF(M263&lt;=8,"R2 Core Clinic",IF(M263&lt;=13,"R3 Revenue &amp; Messaging",IF(M263&lt;=18,"R4 Patient &amp; Platform",IF(M263&lt;=20,"R5 Harden","R6 Launch")))))</f>
        <v/>
      </c>
      <c r="O263" s="70">
        <f>L263*README!$B$32</f>
        <v/>
      </c>
      <c r="P263" s="68" t="inlineStr">
        <is>
          <t>NB-261, NB-257</t>
        </is>
      </c>
      <c r="Q263" s="68" t="inlineStr">
        <is>
          <t>Fleet view loads 500 tenants in under two seconds</t>
        </is>
      </c>
      <c r="R263" s="68" t="inlineStr">
        <is>
          <t>Done</t>
        </is>
      </c>
      <c r="S263" s="68" t="n"/>
    </row>
    <row r="264" ht="23.85" customHeight="1" s="51">
      <c r="A264" s="62" t="inlineStr">
        <is>
          <t>NB-263</t>
        </is>
      </c>
      <c r="B264" s="62" t="inlineStr">
        <is>
          <t>E22 Platform Console — SaaS Operations</t>
        </is>
      </c>
      <c r="C264" s="62" t="inlineStr">
        <is>
          <t>Platform</t>
        </is>
      </c>
      <c r="D264" s="62" t="inlineStr">
        <is>
          <t>Platform health monitoring</t>
        </is>
      </c>
      <c r="E264" s="62" t="inlineStr">
        <is>
          <t>Sync backlog, WhatsApp quality and error rate per clinic. A sync queue means a clinic working offline, not lost data.</t>
        </is>
      </c>
      <c r="F264" s="62" t="inlineStr">
        <is>
          <t>SSA-06,SYS-22,NFR-12</t>
        </is>
      </c>
      <c r="G264" s="62" t="inlineStr">
        <is>
          <t>Platform</t>
        </is>
      </c>
      <c r="H264" s="62" t="inlineStr">
        <is>
          <t>Platform</t>
        </is>
      </c>
      <c r="I264" s="62" t="inlineStr">
        <is>
          <t>Fullstack</t>
        </is>
      </c>
      <c r="J264" s="66" t="inlineStr">
        <is>
          <t>Must</t>
        </is>
      </c>
      <c r="K264" s="66" t="inlineStr">
        <is>
          <t>MVP</t>
        </is>
      </c>
      <c r="L264" s="66" t="n">
        <v>8</v>
      </c>
      <c r="M264" s="66" t="n">
        <v>13</v>
      </c>
      <c r="N264" s="62">
        <f>IF(M264&lt;=4,"R1 Foundation",IF(M264&lt;=8,"R2 Core Clinic",IF(M264&lt;=13,"R3 Revenue &amp; Messaging",IF(M264&lt;=18,"R4 Patient &amp; Platform",IF(M264&lt;=20,"R5 Harden","R6 Launch")))))</f>
        <v/>
      </c>
      <c r="O264" s="67">
        <f>L264*README!$B$32</f>
        <v/>
      </c>
      <c r="P264" s="62" t="inlineStr">
        <is>
          <t>NB-262, NB-304</t>
        </is>
      </c>
      <c r="Q264" s="62" t="inlineStr">
        <is>
          <t>Quality under 60% raises a sending-at-risk alert; a sync backlog is not reported as data loss</t>
        </is>
      </c>
      <c r="R264" s="62" t="inlineStr">
        <is>
          <t>Not started</t>
        </is>
      </c>
      <c r="S264" s="62" t="n"/>
    </row>
    <row r="265" ht="23.85" customHeight="1" s="51">
      <c r="A265" s="68" t="inlineStr">
        <is>
          <t>NB-264</t>
        </is>
      </c>
      <c r="B265" s="68" t="inlineStr">
        <is>
          <t>E22 Platform Console — SaaS Operations</t>
        </is>
      </c>
      <c r="C265" s="68" t="inlineStr">
        <is>
          <t>Platform</t>
        </is>
      </c>
      <c r="D265" s="68" t="inlineStr">
        <is>
          <t>WABA fleet quality monitoring</t>
        </is>
      </c>
      <c r="E265" s="68" t="inlineStr">
        <is>
          <t>Per-number quality, template approval state and messaging capacity across the fleet.</t>
        </is>
      </c>
      <c r="F265" s="68" t="inlineStr">
        <is>
          <t>SSA-03</t>
        </is>
      </c>
      <c r="G265" s="68" t="inlineStr">
        <is>
          <t>Platform</t>
        </is>
      </c>
      <c r="H265" s="68" t="inlineStr">
        <is>
          <t>Platform</t>
        </is>
      </c>
      <c r="I265" s="68" t="inlineStr">
        <is>
          <t>Fullstack</t>
        </is>
      </c>
      <c r="J265" s="69" t="inlineStr">
        <is>
          <t>Must</t>
        </is>
      </c>
      <c r="K265" s="69" t="inlineStr">
        <is>
          <t>MVP</t>
        </is>
      </c>
      <c r="L265" s="69" t="n">
        <v>8</v>
      </c>
      <c r="M265" s="69" t="n">
        <v>13</v>
      </c>
      <c r="N265" s="68">
        <f>IF(M265&lt;=4,"R1 Foundation",IF(M265&lt;=8,"R2 Core Clinic",IF(M265&lt;=13,"R3 Revenue &amp; Messaging",IF(M265&lt;=18,"R4 Patient &amp; Platform",IF(M265&lt;=20,"R5 Harden","R6 Launch")))))</f>
        <v/>
      </c>
      <c r="O265" s="70">
        <f>L265*README!$B$32</f>
        <v/>
      </c>
      <c r="P265" s="68" t="inlineStr">
        <is>
          <t>NB-188, NB-262</t>
        </is>
      </c>
      <c r="Q265" s="68" t="inlineStr">
        <is>
          <t>Failed-delivery and quality drilldown available per tenant</t>
        </is>
      </c>
      <c r="R265" s="68" t="inlineStr">
        <is>
          <t>Not started</t>
        </is>
      </c>
      <c r="S265" s="68" t="n"/>
    </row>
    <row r="266" ht="23.85" customHeight="1" s="51">
      <c r="A266" s="62" t="inlineStr">
        <is>
          <t>NB-265</t>
        </is>
      </c>
      <c r="B266" s="62" t="inlineStr">
        <is>
          <t>E22 Platform Console — SaaS Operations</t>
        </is>
      </c>
      <c r="C266" s="62" t="inlineStr">
        <is>
          <t>Platform</t>
        </is>
      </c>
      <c r="D266" s="62" t="inlineStr">
        <is>
          <t>Support tickets with SLA &amp; multi-source raising</t>
        </is>
      </c>
      <c r="E266" s="62" t="inlineStr">
        <is>
          <t>Raised by owners, staff and doctors, with system alerts raising their own.</t>
        </is>
      </c>
      <c r="F266" s="62" t="inlineStr">
        <is>
          <t>SSA-08</t>
        </is>
      </c>
      <c r="G266" s="62" t="inlineStr">
        <is>
          <t>Platform</t>
        </is>
      </c>
      <c r="H266" s="62" t="inlineStr">
        <is>
          <t>Platform</t>
        </is>
      </c>
      <c r="I266" s="62" t="inlineStr">
        <is>
          <t>Fullstack</t>
        </is>
      </c>
      <c r="J266" s="66" t="inlineStr">
        <is>
          <t>Must</t>
        </is>
      </c>
      <c r="K266" s="66" t="inlineStr">
        <is>
          <t>MVP</t>
        </is>
      </c>
      <c r="L266" s="66" t="n">
        <v>8</v>
      </c>
      <c r="M266" s="66" t="n">
        <v>14</v>
      </c>
      <c r="N266" s="62">
        <f>IF(M266&lt;=4,"R1 Foundation",IF(M266&lt;=8,"R2 Core Clinic",IF(M266&lt;=13,"R3 Revenue &amp; Messaging",IF(M266&lt;=18,"R4 Patient &amp; Platform",IF(M266&lt;=20,"R5 Harden","R6 Launch")))))</f>
        <v/>
      </c>
      <c r="O266" s="67">
        <f>L266*README!$B$32</f>
        <v/>
      </c>
      <c r="P266" s="62" t="inlineStr">
        <is>
          <t>NB-257, NB-262</t>
        </is>
      </c>
      <c r="Q266" s="62" t="inlineStr">
        <is>
          <t>System alerts create tickets automatically; SLA breach is visible and escalates</t>
        </is>
      </c>
      <c r="R266" s="62" t="inlineStr">
        <is>
          <t>Done</t>
        </is>
      </c>
      <c r="S266" s="62" t="n"/>
    </row>
    <row r="267" ht="35.05" customHeight="1" s="51">
      <c r="A267" s="68" t="inlineStr">
        <is>
          <t>NB-266</t>
        </is>
      </c>
      <c r="B267" s="68" t="inlineStr">
        <is>
          <t>E22 Platform Console — SaaS Operations</t>
        </is>
      </c>
      <c r="C267" s="68" t="inlineStr">
        <is>
          <t>Platform</t>
        </is>
      </c>
      <c r="D267" s="68" t="inlineStr">
        <is>
          <t>Support access with consent gate &amp; clinical field blindness</t>
        </is>
      </c>
      <c r="E267" s="68" t="inlineStr">
        <is>
          <t>A support engineer never sees clinical fields, using the same overlay the clinic sees. Access is consented, time-boxed and audited.</t>
        </is>
      </c>
      <c r="F267" s="68" t="inlineStr">
        <is>
          <t>SSA-04</t>
        </is>
      </c>
      <c r="G267" s="68" t="inlineStr">
        <is>
          <t>Platform</t>
        </is>
      </c>
      <c r="H267" s="68" t="inlineStr">
        <is>
          <t>Platform</t>
        </is>
      </c>
      <c r="I267" s="68" t="inlineStr">
        <is>
          <t>Security</t>
        </is>
      </c>
      <c r="J267" s="69" t="inlineStr">
        <is>
          <t>Must</t>
        </is>
      </c>
      <c r="K267" s="69" t="inlineStr">
        <is>
          <t>MVP</t>
        </is>
      </c>
      <c r="L267" s="69" t="n">
        <v>8</v>
      </c>
      <c r="M267" s="69" t="n">
        <v>14</v>
      </c>
      <c r="N267" s="68">
        <f>IF(M267&lt;=4,"R1 Foundation",IF(M267&lt;=8,"R2 Core Clinic",IF(M267&lt;=13,"R3 Revenue &amp; Messaging",IF(M267&lt;=18,"R4 Patient &amp; Platform",IF(M267&lt;=20,"R5 Harden","R6 Launch")))))</f>
        <v/>
      </c>
      <c r="O267" s="70">
        <f>L267*README!$B$32</f>
        <v/>
      </c>
      <c r="P267" s="68" t="inlineStr">
        <is>
          <t>NB-257, NB-238</t>
        </is>
      </c>
      <c r="Q267" s="68" t="inlineStr">
        <is>
          <t>Clinical fields are absent from the support view; no silent impersonation is possible</t>
        </is>
      </c>
      <c r="R267" s="68" t="inlineStr">
        <is>
          <t>Done</t>
        </is>
      </c>
      <c r="S267" s="68" t="n"/>
    </row>
    <row r="268" ht="23.85" customHeight="1" s="51">
      <c r="A268" s="62" t="inlineStr">
        <is>
          <t>NB-267</t>
        </is>
      </c>
      <c r="B268" s="62" t="inlineStr">
        <is>
          <t>E22 Platform Console — SaaS Operations</t>
        </is>
      </c>
      <c r="C268" s="62" t="inlineStr">
        <is>
          <t>Platform</t>
        </is>
      </c>
      <c r="D268" s="62" t="inlineStr">
        <is>
          <t>Subscriptions, dunning &amp; involuntary churn handling</t>
        </is>
      </c>
      <c r="E268" s="62" t="inlineStr">
        <is>
          <t>Tier, add-ons, MRR, currency, renewal date and the active/trialing/overdue/suspended ladder.</t>
        </is>
      </c>
      <c r="F268" s="62" t="inlineStr">
        <is>
          <t>SSA-05,CAD-13</t>
        </is>
      </c>
      <c r="G268" s="62" t="inlineStr">
        <is>
          <t>Platform</t>
        </is>
      </c>
      <c r="H268" s="62" t="inlineStr">
        <is>
          <t>Platform</t>
        </is>
      </c>
      <c r="I268" s="62" t="inlineStr">
        <is>
          <t>Fullstack</t>
        </is>
      </c>
      <c r="J268" s="66" t="inlineStr">
        <is>
          <t>Must</t>
        </is>
      </c>
      <c r="K268" s="66" t="inlineStr">
        <is>
          <t>MVP</t>
        </is>
      </c>
      <c r="L268" s="66" t="n">
        <v>8</v>
      </c>
      <c r="M268" s="66" t="n">
        <v>15</v>
      </c>
      <c r="N268" s="62">
        <f>IF(M268&lt;=4,"R1 Foundation",IF(M268&lt;=8,"R2 Core Clinic",IF(M268&lt;=13,"R3 Revenue &amp; Messaging",IF(M268&lt;=18,"R4 Patient &amp; Platform",IF(M268&lt;=20,"R5 Harden","R6 Launch")))))</f>
        <v/>
      </c>
      <c r="O268" s="67">
        <f>L268*README!$B$32</f>
        <v/>
      </c>
      <c r="P268" s="62" t="inlineStr">
        <is>
          <t>NB-261, NB-269</t>
        </is>
      </c>
      <c r="Q268" s="62" t="inlineStr">
        <is>
          <t>An overdue account follows the dunning ladder to suspension with the correct notices</t>
        </is>
      </c>
      <c r="R268" s="62" t="inlineStr">
        <is>
          <t>Done</t>
        </is>
      </c>
      <c r="S268" s="62" t="n"/>
    </row>
    <row r="269" ht="23.85" customHeight="1" s="51">
      <c r="A269" s="68" t="inlineStr">
        <is>
          <t>NB-268</t>
        </is>
      </c>
      <c r="B269" s="68" t="inlineStr">
        <is>
          <t>E22 Platform Console — SaaS Operations</t>
        </is>
      </c>
      <c r="C269" s="68" t="inlineStr">
        <is>
          <t>Platform</t>
        </is>
      </c>
      <c r="D269" s="68" t="inlineStr">
        <is>
          <t>Discount approval queue with caps</t>
        </is>
      </c>
      <c r="E269" s="68" t="inlineStr">
        <is>
          <t>Within-cap discounts auto-approve; above-cap requests queue for approval and can be rejected.</t>
        </is>
      </c>
      <c r="F269" s="68" t="inlineStr">
        <is>
          <t>SSA-05,SYS-06</t>
        </is>
      </c>
      <c r="G269" s="68" t="inlineStr">
        <is>
          <t>Platform</t>
        </is>
      </c>
      <c r="H269" s="68" t="inlineStr">
        <is>
          <t>Platform</t>
        </is>
      </c>
      <c r="I269" s="68" t="inlineStr">
        <is>
          <t>Fullstack</t>
        </is>
      </c>
      <c r="J269" s="69" t="inlineStr">
        <is>
          <t>Must</t>
        </is>
      </c>
      <c r="K269" s="69" t="inlineStr">
        <is>
          <t>MVP</t>
        </is>
      </c>
      <c r="L269" s="69" t="n">
        <v>5</v>
      </c>
      <c r="M269" s="69" t="n">
        <v>15</v>
      </c>
      <c r="N269" s="68">
        <f>IF(M269&lt;=4,"R1 Foundation",IF(M269&lt;=8,"R2 Core Clinic",IF(M269&lt;=13,"R3 Revenue &amp; Messaging",IF(M269&lt;=18,"R4 Patient &amp; Platform",IF(M269&lt;=20,"R5 Harden","R6 Launch")))))</f>
        <v/>
      </c>
      <c r="O269" s="70">
        <f>L269*README!$B$32</f>
        <v/>
      </c>
      <c r="P269" s="68" t="inlineStr">
        <is>
          <t>NB-267, NB-056</t>
        </is>
      </c>
      <c r="Q269" s="68" t="inlineStr">
        <is>
          <t>Above-cap discount cannot be applied without approval; the cap is configurable</t>
        </is>
      </c>
      <c r="R269" s="68" t="inlineStr">
        <is>
          <t>Done</t>
        </is>
      </c>
      <c r="S269" s="68" t="n"/>
    </row>
    <row r="270" ht="23.85" customHeight="1" s="51">
      <c r="A270" s="62" t="inlineStr">
        <is>
          <t>NB-269</t>
        </is>
      </c>
      <c r="B270" s="62" t="inlineStr">
        <is>
          <t>E22 Platform Console — SaaS Operations</t>
        </is>
      </c>
      <c r="C270" s="62" t="inlineStr">
        <is>
          <t>Platform</t>
        </is>
      </c>
      <c r="D270" s="62" t="inlineStr">
        <is>
          <t>Pricing &amp; packaging console</t>
        </is>
      </c>
      <c r="E270" s="62" t="inlineStr">
        <is>
          <t>Plan definition, add-ons and per-tenant feature switches.</t>
        </is>
      </c>
      <c r="F270" s="62" t="inlineStr">
        <is>
          <t>CAD-13,SYS-20</t>
        </is>
      </c>
      <c r="G270" s="62" t="inlineStr">
        <is>
          <t>Platform</t>
        </is>
      </c>
      <c r="H270" s="62" t="inlineStr">
        <is>
          <t>Platform</t>
        </is>
      </c>
      <c r="I270" s="62" t="inlineStr">
        <is>
          <t>Fullstack</t>
        </is>
      </c>
      <c r="J270" s="66" t="inlineStr">
        <is>
          <t>Must</t>
        </is>
      </c>
      <c r="K270" s="66" t="inlineStr">
        <is>
          <t>MVP</t>
        </is>
      </c>
      <c r="L270" s="66" t="n">
        <v>8</v>
      </c>
      <c r="M270" s="66" t="n">
        <v>12</v>
      </c>
      <c r="N270" s="62">
        <f>IF(M270&lt;=4,"R1 Foundation",IF(M270&lt;=8,"R2 Core Clinic",IF(M270&lt;=13,"R3 Revenue &amp; Messaging",IF(M270&lt;=18,"R4 Patient &amp; Platform",IF(M270&lt;=20,"R5 Harden","R6 Launch")))))</f>
        <v/>
      </c>
      <c r="O270" s="67">
        <f>L270*README!$B$32</f>
        <v/>
      </c>
      <c r="P270" s="62" t="inlineStr">
        <is>
          <t>NB-008, NB-257</t>
        </is>
      </c>
      <c r="Q270" s="62" t="inlineStr">
        <is>
          <t>A plan change reaches the tenant within the stated propagation budget</t>
        </is>
      </c>
      <c r="R270" s="62" t="inlineStr">
        <is>
          <t>Done</t>
        </is>
      </c>
      <c r="S270" s="62" t="n"/>
    </row>
    <row r="271" ht="23.85" customHeight="1" s="51">
      <c r="A271" s="68" t="inlineStr">
        <is>
          <t>NB-270</t>
        </is>
      </c>
      <c r="B271" s="68" t="inlineStr">
        <is>
          <t>E22 Platform Console — SaaS Operations</t>
        </is>
      </c>
      <c r="C271" s="68" t="inlineStr">
        <is>
          <t>Platform</t>
        </is>
      </c>
      <c r="D271" s="68" t="inlineStr">
        <is>
          <t>Territory &amp; commercial geography console</t>
        </is>
      </c>
      <c r="E271" s="68" t="inlineStr">
        <is>
          <t>State and region view with tax code, clinic and user counts, MRR, plan mix, month-on-month movement and aggregator demand.</t>
        </is>
      </c>
      <c r="F271" s="68" t="inlineStr">
        <is>
          <t>SSA-01,AGG-04</t>
        </is>
      </c>
      <c r="G271" s="68" t="inlineStr">
        <is>
          <t>Platform</t>
        </is>
      </c>
      <c r="H271" s="68" t="inlineStr">
        <is>
          <t>Platform</t>
        </is>
      </c>
      <c r="I271" s="68" t="inlineStr">
        <is>
          <t>Fullstack</t>
        </is>
      </c>
      <c r="J271" s="69" t="inlineStr">
        <is>
          <t>Should</t>
        </is>
      </c>
      <c r="K271" s="69" t="inlineStr">
        <is>
          <t>Phase 2</t>
        </is>
      </c>
      <c r="L271" s="69" t="n">
        <v>8</v>
      </c>
      <c r="M271" s="69" t="n">
        <v>17</v>
      </c>
      <c r="N271" s="68">
        <f>IF(M271&lt;=4,"R1 Foundation",IF(M271&lt;=8,"R2 Core Clinic",IF(M271&lt;=13,"R3 Revenue &amp; Messaging",IF(M271&lt;=18,"R4 Patient &amp; Platform",IF(M271&lt;=20,"R5 Harden","R6 Launch")))))</f>
        <v/>
      </c>
      <c r="O271" s="70">
        <f>L271*README!$B$32</f>
        <v/>
      </c>
      <c r="P271" s="68" t="inlineStr">
        <is>
          <t>NB-262, NB-267</t>
        </is>
      </c>
      <c r="Q271" s="68" t="inlineStr">
        <is>
          <t>Territory figures reconcile with billing and the aggregator demand feed</t>
        </is>
      </c>
      <c r="R271" s="68" t="inlineStr">
        <is>
          <t>Done</t>
        </is>
      </c>
      <c r="S271" s="68" t="n"/>
    </row>
    <row r="272" ht="23.85" customHeight="1" s="51">
      <c r="A272" s="62" t="inlineStr">
        <is>
          <t>NB-271</t>
        </is>
      </c>
      <c r="B272" s="62" t="inlineStr">
        <is>
          <t>E22 Platform Console — SaaS Operations</t>
        </is>
      </c>
      <c r="C272" s="62" t="inlineStr">
        <is>
          <t>Platform</t>
        </is>
      </c>
      <c r="D272" s="62" t="inlineStr">
        <is>
          <t>Multi-region deployment &amp; residency enforcement</t>
        </is>
      </c>
      <c r="E272" s="62" t="inlineStr">
        <is>
          <t>Independent India and KSA stacks with a shared control plane and no cross-region replication.</t>
        </is>
      </c>
      <c r="F272" s="62" t="inlineStr">
        <is>
          <t>NFR-04,SYS-14</t>
        </is>
      </c>
      <c r="G272" s="62" t="inlineStr">
        <is>
          <t>Platform</t>
        </is>
      </c>
      <c r="H272" s="62" t="inlineStr">
        <is>
          <t>Platform</t>
        </is>
      </c>
      <c r="I272" s="62" t="inlineStr">
        <is>
          <t>DevOps</t>
        </is>
      </c>
      <c r="J272" s="66" t="inlineStr">
        <is>
          <t>Must</t>
        </is>
      </c>
      <c r="K272" s="66" t="inlineStr">
        <is>
          <t>MVP</t>
        </is>
      </c>
      <c r="L272" s="66" t="n">
        <v>13</v>
      </c>
      <c r="M272" s="66" t="n">
        <v>11</v>
      </c>
      <c r="N272" s="62">
        <f>IF(M272&lt;=4,"R1 Foundation",IF(M272&lt;=8,"R2 Core Clinic",IF(M272&lt;=13,"R3 Revenue &amp; Messaging",IF(M272&lt;=18,"R4 Patient &amp; Platform",IF(M272&lt;=20,"R5 Harden","R6 Launch")))))</f>
        <v/>
      </c>
      <c r="O272" s="67">
        <f>L272*README!$B$32</f>
        <v/>
      </c>
      <c r="P272" s="62" t="inlineStr">
        <is>
          <t>NB-002, NB-299</t>
        </is>
      </c>
      <c r="Q272" s="62" t="inlineStr">
        <is>
          <t>Region failover never moves data across the residency boundary; KMS keys are region-scoped</t>
        </is>
      </c>
      <c r="R272" s="62" t="inlineStr">
        <is>
          <t>Not started</t>
        </is>
      </c>
      <c r="S272" s="62" t="n"/>
    </row>
    <row r="273" ht="23.85" customHeight="1" s="51">
      <c r="A273" s="68" t="inlineStr">
        <is>
          <t>NB-272</t>
        </is>
      </c>
      <c r="B273" s="68" t="inlineStr">
        <is>
          <t>E22 Platform Console — SaaS Operations</t>
        </is>
      </c>
      <c r="C273" s="68" t="inlineStr">
        <is>
          <t>Platform</t>
        </is>
      </c>
      <c r="D273" s="68" t="inlineStr">
        <is>
          <t>Platform audit console</t>
        </is>
      </c>
      <c r="E273" s="68" t="inlineStr">
        <is>
          <t>Cross-tenant, read-only audit search for platform operators.</t>
        </is>
      </c>
      <c r="F273" s="68" t="inlineStr">
        <is>
          <t>SSA-11,DPO-01,SYS-13</t>
        </is>
      </c>
      <c r="G273" s="68" t="inlineStr">
        <is>
          <t>Platform</t>
        </is>
      </c>
      <c r="H273" s="68" t="inlineStr">
        <is>
          <t>Platform</t>
        </is>
      </c>
      <c r="I273" s="68" t="inlineStr">
        <is>
          <t>Fullstack</t>
        </is>
      </c>
      <c r="J273" s="69" t="inlineStr">
        <is>
          <t>Must</t>
        </is>
      </c>
      <c r="K273" s="69" t="inlineStr">
        <is>
          <t>MVP</t>
        </is>
      </c>
      <c r="L273" s="69" t="n">
        <v>5</v>
      </c>
      <c r="M273" s="69" t="n">
        <v>15</v>
      </c>
      <c r="N273" s="68">
        <f>IF(M273&lt;=4,"R1 Foundation",IF(M273&lt;=8,"R2 Core Clinic",IF(M273&lt;=13,"R3 Revenue &amp; Messaging",IF(M273&lt;=18,"R4 Patient &amp; Platform",IF(M273&lt;=20,"R5 Harden","R6 Launch")))))</f>
        <v/>
      </c>
      <c r="O273" s="70">
        <f>L273*README!$B$32</f>
        <v/>
      </c>
      <c r="P273" s="68" t="inlineStr">
        <is>
          <t>NB-238, NB-257</t>
        </is>
      </c>
      <c r="Q273" s="68" t="inlineStr">
        <is>
          <t>Every platform action is queryable within five minutes of occurring</t>
        </is>
      </c>
      <c r="R273" s="68" t="inlineStr">
        <is>
          <t>Done</t>
        </is>
      </c>
      <c r="S273" s="68" t="n"/>
    </row>
    <row r="274" ht="23.85" customHeight="1" s="51">
      <c r="A274" s="62" t="inlineStr">
        <is>
          <t>NB-273</t>
        </is>
      </c>
      <c r="B274" s="62" t="inlineStr">
        <is>
          <t>E22 Platform Console — SaaS Operations</t>
        </is>
      </c>
      <c r="C274" s="62" t="inlineStr">
        <is>
          <t>Platform</t>
        </is>
      </c>
      <c r="D274" s="62" t="inlineStr">
        <is>
          <t>Per-tenant usage metering &amp; quota enforcement</t>
        </is>
      </c>
      <c r="E274" s="62" t="inlineStr">
        <is>
          <t>Message volume, storage and seats, driving billing and abuse control.</t>
        </is>
      </c>
      <c r="F274" s="62" t="inlineStr">
        <is>
          <t>SSA-05,NFR-02</t>
        </is>
      </c>
      <c r="G274" s="62" t="inlineStr">
        <is>
          <t>Platform</t>
        </is>
      </c>
      <c r="H274" s="62" t="inlineStr">
        <is>
          <t>Platform</t>
        </is>
      </c>
      <c r="I274" s="62" t="inlineStr">
        <is>
          <t>Backend</t>
        </is>
      </c>
      <c r="J274" s="66" t="inlineStr">
        <is>
          <t>Should</t>
        </is>
      </c>
      <c r="K274" s="66" t="inlineStr">
        <is>
          <t>MVP</t>
        </is>
      </c>
      <c r="L274" s="66" t="n">
        <v>5</v>
      </c>
      <c r="M274" s="66" t="n">
        <v>16</v>
      </c>
      <c r="N274" s="62">
        <f>IF(M274&lt;=4,"R1 Foundation",IF(M274&lt;=8,"R2 Core Clinic",IF(M274&lt;=13,"R3 Revenue &amp; Messaging",IF(M274&lt;=18,"R4 Patient &amp; Platform",IF(M274&lt;=20,"R5 Harden","R6 Launch")))))</f>
        <v/>
      </c>
      <c r="O274" s="67">
        <f>L274*README!$B$32</f>
        <v/>
      </c>
      <c r="P274" s="62" t="inlineStr">
        <is>
          <t>NB-261, NB-304</t>
        </is>
      </c>
      <c r="Q274" s="62" t="inlineStr">
        <is>
          <t>Metering reconciles with provider invoices within 1%</t>
        </is>
      </c>
      <c r="R274" s="62" t="inlineStr">
        <is>
          <t>Done</t>
        </is>
      </c>
      <c r="S274" s="62" t="n"/>
    </row>
    <row r="275" ht="23.85" customHeight="1" s="51">
      <c r="A275" s="68" t="inlineStr">
        <is>
          <t>NB-274</t>
        </is>
      </c>
      <c r="B275" s="68" t="inlineStr">
        <is>
          <t>E22 Platform Console — SaaS Operations</t>
        </is>
      </c>
      <c r="C275" s="68" t="inlineStr">
        <is>
          <t>Platform</t>
        </is>
      </c>
      <c r="D275" s="68" t="inlineStr">
        <is>
          <t>Multi-branch &amp; multi-clinic groups</t>
        </is>
      </c>
      <c r="E275" s="68" t="inlineStr">
        <is>
          <t>Branch-scoped queues, staff, stock and reporting under one tenant.</t>
        </is>
      </c>
      <c r="F275" s="68" t="n"/>
      <c r="G275" s="68" t="inlineStr">
        <is>
          <t>Owner</t>
        </is>
      </c>
      <c r="H275" s="68" t="inlineStr">
        <is>
          <t>Clinic</t>
        </is>
      </c>
      <c r="I275" s="68" t="inlineStr">
        <is>
          <t>Backend</t>
        </is>
      </c>
      <c r="J275" s="69" t="inlineStr">
        <is>
          <t>Should</t>
        </is>
      </c>
      <c r="K275" s="69" t="inlineStr">
        <is>
          <t>Phase 2</t>
        </is>
      </c>
      <c r="L275" s="69" t="n">
        <v>8</v>
      </c>
      <c r="M275" s="69" t="n">
        <v>18</v>
      </c>
      <c r="N275" s="68">
        <f>IF(M275&lt;=4,"R1 Foundation",IF(M275&lt;=8,"R2 Core Clinic",IF(M275&lt;=13,"R3 Revenue &amp; Messaging",IF(M275&lt;=18,"R4 Patient &amp; Platform",IF(M275&lt;=20,"R5 Harden","R6 Launch")))))</f>
        <v/>
      </c>
      <c r="O275" s="70">
        <f>L275*README!$B$32</f>
        <v/>
      </c>
      <c r="P275" s="68" t="inlineStr">
        <is>
          <t>NB-261, NB-049</t>
        </is>
      </c>
      <c r="Q275" s="68" t="inlineStr">
        <is>
          <t>Branch switch rescopes all data with no cross-branch leakage</t>
        </is>
      </c>
      <c r="R275" s="68" t="inlineStr">
        <is>
          <t>Not started</t>
        </is>
      </c>
      <c r="S275" s="68" t="n"/>
    </row>
    <row r="276" ht="23.85" customHeight="1" s="51">
      <c r="A276" s="62" t="inlineStr">
        <is>
          <t>NB-275</t>
        </is>
      </c>
      <c r="B276" s="62" t="inlineStr">
        <is>
          <t>E23 Trial, Sales &amp; Growth</t>
        </is>
      </c>
      <c r="C276" s="62" t="inlineStr">
        <is>
          <t>Growth</t>
        </is>
      </c>
      <c r="D276" s="62" t="inlineStr">
        <is>
          <t>Self-serve trial creation &amp; conversion funnel</t>
        </is>
      </c>
      <c r="E276" s="62" t="inlineStr">
        <is>
          <t>A trial clinic created without sales involvement, tracked through to conversion.</t>
        </is>
      </c>
      <c r="F276" s="62" t="inlineStr">
        <is>
          <t>SCS-01,SSA-01</t>
        </is>
      </c>
      <c r="G276" s="62" t="inlineStr">
        <is>
          <t>Platform</t>
        </is>
      </c>
      <c r="H276" s="62" t="inlineStr">
        <is>
          <t>Platform</t>
        </is>
      </c>
      <c r="I276" s="62" t="inlineStr">
        <is>
          <t>Fullstack</t>
        </is>
      </c>
      <c r="J276" s="66" t="inlineStr">
        <is>
          <t>Should</t>
        </is>
      </c>
      <c r="K276" s="66" t="inlineStr">
        <is>
          <t>MVP</t>
        </is>
      </c>
      <c r="L276" s="66" t="n">
        <v>8</v>
      </c>
      <c r="M276" s="66" t="n">
        <v>14</v>
      </c>
      <c r="N276" s="62">
        <f>IF(M276&lt;=4,"R1 Foundation",IF(M276&lt;=8,"R2 Core Clinic",IF(M276&lt;=13,"R3 Revenue &amp; Messaging",IF(M276&lt;=18,"R4 Patient &amp; Platform",IF(M276&lt;=20,"R5 Harden","R6 Launch")))))</f>
        <v/>
      </c>
      <c r="O276" s="67">
        <f>L276*README!$B$32</f>
        <v/>
      </c>
      <c r="P276" s="62" t="inlineStr">
        <is>
          <t>NB-258, NB-276</t>
        </is>
      </c>
      <c r="Q276" s="62" t="inlineStr">
        <is>
          <t>A trial clinic is created and reaches first value without any human involvement</t>
        </is>
      </c>
      <c r="R276" s="62" t="inlineStr">
        <is>
          <t>Not started</t>
        </is>
      </c>
      <c r="S276" s="62" t="n"/>
    </row>
    <row r="277" ht="23.85" customHeight="1" s="51">
      <c r="A277" s="68" t="inlineStr">
        <is>
          <t>NB-276</t>
        </is>
      </c>
      <c r="B277" s="68" t="inlineStr">
        <is>
          <t>E23 Trial, Sales &amp; Growth</t>
        </is>
      </c>
      <c r="C277" s="68" t="inlineStr">
        <is>
          <t>Growth</t>
        </is>
      </c>
      <c r="D277" s="68" t="inlineStr">
        <is>
          <t>Digital DPA gate before any patient data</t>
        </is>
      </c>
      <c r="E277" s="68" t="inlineStr">
        <is>
          <t>A plan and a signed digital DPA are required before the tenant can hold patient data.</t>
        </is>
      </c>
      <c r="F277" s="68" t="inlineStr">
        <is>
          <t>CEO-17,DPO-01</t>
        </is>
      </c>
      <c r="G277" s="68" t="inlineStr">
        <is>
          <t>Platform,Owner</t>
        </is>
      </c>
      <c r="H277" s="68" t="inlineStr">
        <is>
          <t>Platform</t>
        </is>
      </c>
      <c r="I277" s="68" t="inlineStr">
        <is>
          <t>Fullstack</t>
        </is>
      </c>
      <c r="J277" s="69" t="inlineStr">
        <is>
          <t>Must</t>
        </is>
      </c>
      <c r="K277" s="69" t="inlineStr">
        <is>
          <t>MVP</t>
        </is>
      </c>
      <c r="L277" s="69" t="n">
        <v>5</v>
      </c>
      <c r="M277" s="69" t="n">
        <v>14</v>
      </c>
      <c r="N277" s="68">
        <f>IF(M277&lt;=4,"R1 Foundation",IF(M277&lt;=8,"R2 Core Clinic",IF(M277&lt;=13,"R3 Revenue &amp; Messaging",IF(M277&lt;=18,"R4 Patient &amp; Platform",IF(M277&lt;=20,"R5 Harden","R6 Launch")))))</f>
        <v/>
      </c>
      <c r="O277" s="70">
        <f>L277*README!$B$32</f>
        <v/>
      </c>
      <c r="P277" s="68" t="inlineStr">
        <is>
          <t>NB-242, NB-261</t>
        </is>
      </c>
      <c r="Q277" s="68" t="inlineStr">
        <is>
          <t>Patient data entry is blocked until a plan is selected and the DPA is signed and versioned</t>
        </is>
      </c>
      <c r="R277" s="68" t="inlineStr">
        <is>
          <t>Not started</t>
        </is>
      </c>
      <c r="S277" s="68" t="n"/>
    </row>
    <row r="278" ht="23.85" customHeight="1" s="51">
      <c r="A278" s="62" t="inlineStr">
        <is>
          <t>NB-277</t>
        </is>
      </c>
      <c r="B278" s="62" t="inlineStr">
        <is>
          <t>E23 Trial, Sales &amp; Growth</t>
        </is>
      </c>
      <c r="C278" s="62" t="inlineStr">
        <is>
          <t>Growth</t>
        </is>
      </c>
      <c r="D278" s="62" t="inlineStr">
        <is>
          <t>Low-touch inside sales &amp; lead pipeline</t>
        </is>
      </c>
      <c r="E278" s="62" t="inlineStr">
        <is>
          <t>Lead capture and pipeline for a low-touch sales motion.</t>
        </is>
      </c>
      <c r="F278" s="62" t="inlineStr">
        <is>
          <t>SCS-02</t>
        </is>
      </c>
      <c r="G278" s="62" t="inlineStr">
        <is>
          <t>Platform</t>
        </is>
      </c>
      <c r="H278" s="62" t="inlineStr">
        <is>
          <t>Platform</t>
        </is>
      </c>
      <c r="I278" s="62" t="inlineStr">
        <is>
          <t>Fullstack</t>
        </is>
      </c>
      <c r="J278" s="66" t="inlineStr">
        <is>
          <t>Should</t>
        </is>
      </c>
      <c r="K278" s="66" t="inlineStr">
        <is>
          <t>Phase 2</t>
        </is>
      </c>
      <c r="L278" s="66" t="n">
        <v>5</v>
      </c>
      <c r="M278" s="66" t="n">
        <v>17</v>
      </c>
      <c r="N278" s="62">
        <f>IF(M278&lt;=4,"R1 Foundation",IF(M278&lt;=8,"R2 Core Clinic",IF(M278&lt;=13,"R3 Revenue &amp; Messaging",IF(M278&lt;=18,"R4 Patient &amp; Platform",IF(M278&lt;=20,"R5 Harden","R6 Launch")))))</f>
        <v/>
      </c>
      <c r="O278" s="67">
        <f>L278*README!$B$32</f>
        <v/>
      </c>
      <c r="P278" s="62" t="inlineStr">
        <is>
          <t>NB-275</t>
        </is>
      </c>
      <c r="Q278" s="62" t="inlineStr">
        <is>
          <t>Leads flow to a pipeline with stage and owner; no manual spreadsheet is required</t>
        </is>
      </c>
      <c r="R278" s="62" t="inlineStr">
        <is>
          <t>Not started</t>
        </is>
      </c>
      <c r="S278" s="62" t="n"/>
    </row>
    <row r="279" ht="23.85" customHeight="1" s="51">
      <c r="A279" s="68" t="inlineStr">
        <is>
          <t>NB-278</t>
        </is>
      </c>
      <c r="B279" s="68" t="inlineStr">
        <is>
          <t>E23 Trial, Sales &amp; Growth</t>
        </is>
      </c>
      <c r="C279" s="68" t="inlineStr">
        <is>
          <t>Growth</t>
        </is>
      </c>
      <c r="D279" s="68" t="inlineStr">
        <is>
          <t>Onboarding success &amp; activation tracking</t>
        </is>
      </c>
      <c r="E279" s="68" t="inlineStr">
        <is>
          <t>Cohort activation tracking that identifies stuck tenants.</t>
        </is>
      </c>
      <c r="F279" s="68" t="inlineStr">
        <is>
          <t>SCS-03</t>
        </is>
      </c>
      <c r="G279" s="68" t="inlineStr">
        <is>
          <t>Platform</t>
        </is>
      </c>
      <c r="H279" s="68" t="inlineStr">
        <is>
          <t>Platform</t>
        </is>
      </c>
      <c r="I279" s="68" t="inlineStr">
        <is>
          <t>Fullstack</t>
        </is>
      </c>
      <c r="J279" s="69" t="inlineStr">
        <is>
          <t>Should</t>
        </is>
      </c>
      <c r="K279" s="69" t="inlineStr">
        <is>
          <t>Phase 2</t>
        </is>
      </c>
      <c r="L279" s="69" t="n">
        <v>5</v>
      </c>
      <c r="M279" s="69" t="n">
        <v>18</v>
      </c>
      <c r="N279" s="68">
        <f>IF(M279&lt;=4,"R1 Foundation",IF(M279&lt;=8,"R2 Core Clinic",IF(M279&lt;=13,"R3 Revenue &amp; Messaging",IF(M279&lt;=18,"R4 Patient &amp; Platform",IF(M279&lt;=20,"R5 Harden","R6 Launch")))))</f>
        <v/>
      </c>
      <c r="O279" s="70">
        <f>L279*README!$B$32</f>
        <v/>
      </c>
      <c r="P279" s="68" t="inlineStr">
        <is>
          <t>NB-275, NB-069</t>
        </is>
      </c>
      <c r="Q279" s="68" t="inlineStr">
        <is>
          <t>A stuck tenant is identified automatically with the blocking step named</t>
        </is>
      </c>
      <c r="R279" s="68" t="inlineStr">
        <is>
          <t>Not started</t>
        </is>
      </c>
      <c r="S279" s="68" t="n"/>
    </row>
    <row r="280" ht="23.85" customHeight="1" s="51">
      <c r="A280" s="62" t="inlineStr">
        <is>
          <t>NB-279</t>
        </is>
      </c>
      <c r="B280" s="62" t="inlineStr">
        <is>
          <t>E23 Trial, Sales &amp; Growth</t>
        </is>
      </c>
      <c r="C280" s="62" t="inlineStr">
        <is>
          <t>Growth</t>
        </is>
      </c>
      <c r="D280" s="62" t="inlineStr">
        <is>
          <t>Paid white-glove setup delivery</t>
        </is>
      </c>
      <c r="E280" s="62" t="inlineStr">
        <is>
          <t>A chargeable managed-setup workflow tracked to completion.</t>
        </is>
      </c>
      <c r="F280" s="62" t="inlineStr">
        <is>
          <t>SCS-04</t>
        </is>
      </c>
      <c r="G280" s="62" t="inlineStr">
        <is>
          <t>Platform</t>
        </is>
      </c>
      <c r="H280" s="62" t="inlineStr">
        <is>
          <t>Platform</t>
        </is>
      </c>
      <c r="I280" s="62" t="inlineStr">
        <is>
          <t>Fullstack</t>
        </is>
      </c>
      <c r="J280" s="66" t="inlineStr">
        <is>
          <t>Could</t>
        </is>
      </c>
      <c r="K280" s="66" t="inlineStr">
        <is>
          <t>Phase 2</t>
        </is>
      </c>
      <c r="L280" s="66" t="n">
        <v>5</v>
      </c>
      <c r="M280" s="66" t="n">
        <v>19</v>
      </c>
      <c r="N280" s="62">
        <f>IF(M280&lt;=4,"R1 Foundation",IF(M280&lt;=8,"R2 Core Clinic",IF(M280&lt;=13,"R3 Revenue &amp; Messaging",IF(M280&lt;=18,"R4 Patient &amp; Platform",IF(M280&lt;=20,"R5 Harden","R6 Launch")))))</f>
        <v/>
      </c>
      <c r="O280" s="67">
        <f>L280*README!$B$32</f>
        <v/>
      </c>
      <c r="P280" s="62" t="inlineStr">
        <is>
          <t>NB-278</t>
        </is>
      </c>
      <c r="Q280" s="62" t="inlineStr">
        <is>
          <t>White-glove engagements are tracked with deliverables and a completion gate</t>
        </is>
      </c>
      <c r="R280" s="62" t="inlineStr">
        <is>
          <t>Not started</t>
        </is>
      </c>
      <c r="S280" s="62" t="n"/>
    </row>
    <row r="281" ht="23.85" customHeight="1" s="51">
      <c r="A281" s="68" t="inlineStr">
        <is>
          <t>NB-280</t>
        </is>
      </c>
      <c r="B281" s="68" t="inlineStr">
        <is>
          <t>E23 Trial, Sales &amp; Growth</t>
        </is>
      </c>
      <c r="C281" s="68" t="inlineStr">
        <is>
          <t>Growth</t>
        </is>
      </c>
      <c r="D281" s="68" t="inlineStr">
        <is>
          <t>Trial expiry, conversion &amp; downgrade handling</t>
        </is>
      </c>
      <c r="E281" s="68" t="inlineStr">
        <is>
          <t>Trial countdown, conversion and graceful downgrade with historical data preserved.</t>
        </is>
      </c>
      <c r="F281" s="68" t="inlineStr">
        <is>
          <t>SCS-01,SYS-20,CAD-13</t>
        </is>
      </c>
      <c r="G281" s="68" t="inlineStr">
        <is>
          <t>Platform,Owner</t>
        </is>
      </c>
      <c r="H281" s="68" t="inlineStr">
        <is>
          <t>Platform</t>
        </is>
      </c>
      <c r="I281" s="68" t="inlineStr">
        <is>
          <t>Fullstack</t>
        </is>
      </c>
      <c r="J281" s="69" t="inlineStr">
        <is>
          <t>Must</t>
        </is>
      </c>
      <c r="K281" s="69" t="inlineStr">
        <is>
          <t>MVP</t>
        </is>
      </c>
      <c r="L281" s="69" t="n">
        <v>5</v>
      </c>
      <c r="M281" s="69" t="n">
        <v>16</v>
      </c>
      <c r="N281" s="68">
        <f>IF(M281&lt;=4,"R1 Foundation",IF(M281&lt;=8,"R2 Core Clinic",IF(M281&lt;=13,"R3 Revenue &amp; Messaging",IF(M281&lt;=18,"R4 Patient &amp; Platform",IF(M281&lt;=20,"R5 Harden","R6 Launch")))))</f>
        <v/>
      </c>
      <c r="O281" s="70">
        <f>L281*README!$B$32</f>
        <v/>
      </c>
      <c r="P281" s="68" t="inlineStr">
        <is>
          <t>NB-275, NB-267</t>
        </is>
      </c>
      <c r="Q281" s="68" t="inlineStr">
        <is>
          <t>Trial expiry never destroys data; downgrade leaves history readable</t>
        </is>
      </c>
      <c r="R281" s="68" t="inlineStr">
        <is>
          <t>Not started</t>
        </is>
      </c>
      <c r="S281" s="68" t="n"/>
    </row>
    <row r="282" ht="23.85" customHeight="1" s="51">
      <c r="A282" s="62" t="inlineStr">
        <is>
          <t>NB-281</t>
        </is>
      </c>
      <c r="B282" s="62" t="inlineStr">
        <is>
          <t>E23 Trial, Sales &amp; Growth</t>
        </is>
      </c>
      <c r="C282" s="62" t="inlineStr">
        <is>
          <t>Growth</t>
        </is>
      </c>
      <c r="D282" s="62" t="inlineStr">
        <is>
          <t>Plan win/loss &amp; pricing signal reporting</t>
        </is>
      </c>
      <c r="E282" s="62" t="inlineStr">
        <is>
          <t>Which plans win and lose, feeding pricing decisions.</t>
        </is>
      </c>
      <c r="F282" s="62" t="inlineStr">
        <is>
          <t>SCS-04,SCS-02</t>
        </is>
      </c>
      <c r="G282" s="62" t="inlineStr">
        <is>
          <t>Platform</t>
        </is>
      </c>
      <c r="H282" s="62" t="inlineStr">
        <is>
          <t>Platform</t>
        </is>
      </c>
      <c r="I282" s="62" t="inlineStr">
        <is>
          <t>Fullstack</t>
        </is>
      </c>
      <c r="J282" s="66" t="inlineStr">
        <is>
          <t>Could</t>
        </is>
      </c>
      <c r="K282" s="66" t="inlineStr">
        <is>
          <t>Phase 2</t>
        </is>
      </c>
      <c r="L282" s="66" t="n">
        <v>3</v>
      </c>
      <c r="M282" s="66" t="n">
        <v>20</v>
      </c>
      <c r="N282" s="62">
        <f>IF(M282&lt;=4,"R1 Foundation",IF(M282&lt;=8,"R2 Core Clinic",IF(M282&lt;=13,"R3 Revenue &amp; Messaging",IF(M282&lt;=18,"R4 Patient &amp; Platform",IF(M282&lt;=20,"R5 Harden","R6 Launch")))))</f>
        <v/>
      </c>
      <c r="O282" s="67">
        <f>L282*README!$B$32</f>
        <v/>
      </c>
      <c r="P282" s="62" t="inlineStr">
        <is>
          <t>NB-277</t>
        </is>
      </c>
      <c r="Q282" s="62" t="inlineStr">
        <is>
          <t>Win/loss reasons are captured as structured data, not free text alone</t>
        </is>
      </c>
      <c r="R282" s="62" t="inlineStr">
        <is>
          <t>Not started</t>
        </is>
      </c>
      <c r="S282" s="62" t="n"/>
    </row>
    <row r="283" ht="23.85" customHeight="1" s="51">
      <c r="A283" s="68" t="inlineStr">
        <is>
          <t>NB-282</t>
        </is>
      </c>
      <c r="B283" s="68" t="inlineStr">
        <is>
          <t>E24 Cybersecurity</t>
        </is>
      </c>
      <c r="C283" s="68" t="inlineStr">
        <is>
          <t>Security</t>
        </is>
      </c>
      <c r="D283" s="68" t="inlineStr">
        <is>
          <t>Threat model &amp; security architecture review</t>
        </is>
      </c>
      <c r="E283" s="68" t="inlineStr">
        <is>
          <t>STRIDE across auth, tenancy, messaging, billing, aggregator and clinical data flows.</t>
        </is>
      </c>
      <c r="F283" s="68" t="n"/>
      <c r="G283" s="68" t="inlineStr">
        <is>
          <t>All</t>
        </is>
      </c>
      <c r="H283" s="68" t="inlineStr">
        <is>
          <t>Shared</t>
        </is>
      </c>
      <c r="I283" s="68" t="inlineStr">
        <is>
          <t>Security</t>
        </is>
      </c>
      <c r="J283" s="69" t="inlineStr">
        <is>
          <t>Must</t>
        </is>
      </c>
      <c r="K283" s="69" t="inlineStr">
        <is>
          <t>MVP</t>
        </is>
      </c>
      <c r="L283" s="69" t="n">
        <v>8</v>
      </c>
      <c r="M283" s="69" t="n">
        <v>2</v>
      </c>
      <c r="N283" s="68">
        <f>IF(M283&lt;=4,"R1 Foundation",IF(M283&lt;=8,"R2 Core Clinic",IF(M283&lt;=13,"R3 Revenue &amp; Messaging",IF(M283&lt;=18,"R4 Patient &amp; Platform",IF(M283&lt;=20,"R5 Harden","R6 Launch")))))</f>
        <v/>
      </c>
      <c r="O283" s="70">
        <f>L283*README!$B$32</f>
        <v/>
      </c>
      <c r="P283" s="68" t="inlineStr">
        <is>
          <t>NB-001</t>
        </is>
      </c>
      <c r="Q283" s="68" t="inlineStr">
        <is>
          <t>Threat model reviewed; mitigations tracked as backlog items</t>
        </is>
      </c>
      <c r="R283" s="68" t="inlineStr">
        <is>
          <t>Not started</t>
        </is>
      </c>
      <c r="S283" s="68" t="n"/>
    </row>
    <row r="284" ht="23.85" customHeight="1" s="51">
      <c r="A284" s="62" t="inlineStr">
        <is>
          <t>NB-283</t>
        </is>
      </c>
      <c r="B284" s="62" t="inlineStr">
        <is>
          <t>E24 Cybersecurity</t>
        </is>
      </c>
      <c r="C284" s="62" t="inlineStr">
        <is>
          <t>Security</t>
        </is>
      </c>
      <c r="D284" s="62" t="inlineStr">
        <is>
          <t>Region-scoped encryption at rest &amp; KMS key management</t>
        </is>
      </c>
      <c r="E284" s="62" t="inlineStr">
        <is>
          <t>Per-tenant keys held in a region-scoped KMS with no cross-region replication of keys or data.</t>
        </is>
      </c>
      <c r="F284" s="62" t="inlineStr">
        <is>
          <t>NFR-04</t>
        </is>
      </c>
      <c r="G284" s="62" t="inlineStr">
        <is>
          <t>All</t>
        </is>
      </c>
      <c r="H284" s="62" t="inlineStr">
        <is>
          <t>Shared</t>
        </is>
      </c>
      <c r="I284" s="62" t="inlineStr">
        <is>
          <t>Security</t>
        </is>
      </c>
      <c r="J284" s="66" t="inlineStr">
        <is>
          <t>Must</t>
        </is>
      </c>
      <c r="K284" s="66" t="inlineStr">
        <is>
          <t>MVP</t>
        </is>
      </c>
      <c r="L284" s="66" t="n">
        <v>8</v>
      </c>
      <c r="M284" s="66" t="n">
        <v>5</v>
      </c>
      <c r="N284" s="62">
        <f>IF(M284&lt;=4,"R1 Foundation",IF(M284&lt;=8,"R2 Core Clinic",IF(M284&lt;=13,"R3 Revenue &amp; Messaging",IF(M284&lt;=18,"R4 Patient &amp; Platform",IF(M284&lt;=20,"R5 Harden","R6 Launch")))))</f>
        <v/>
      </c>
      <c r="O284" s="67">
        <f>L284*README!$B$32</f>
        <v/>
      </c>
      <c r="P284" s="62" t="inlineStr">
        <is>
          <t>NB-009, NB-299</t>
        </is>
      </c>
      <c r="Q284" s="62" t="inlineStr">
        <is>
          <t>Key rotation exercised in staging without downtime; keys never leave their region</t>
        </is>
      </c>
      <c r="R284" s="62" t="inlineStr">
        <is>
          <t>Not started</t>
        </is>
      </c>
      <c r="S284" s="62" t="n"/>
    </row>
    <row r="285" ht="15" customHeight="1" s="51">
      <c r="A285" s="68" t="inlineStr">
        <is>
          <t>NB-284</t>
        </is>
      </c>
      <c r="B285" s="68" t="inlineStr">
        <is>
          <t>E24 Cybersecurity</t>
        </is>
      </c>
      <c r="C285" s="68" t="inlineStr">
        <is>
          <t>Security</t>
        </is>
      </c>
      <c r="D285" s="68" t="inlineStr">
        <is>
          <t>Encryption in transit &amp; TLS hardening</t>
        </is>
      </c>
      <c r="E285" s="68" t="inlineStr">
        <is>
          <t>TLS 1.3, HSTS preload, no weak ciphers, automated certificates.</t>
        </is>
      </c>
      <c r="F285" s="68" t="n"/>
      <c r="G285" s="68" t="inlineStr">
        <is>
          <t>All</t>
        </is>
      </c>
      <c r="H285" s="68" t="inlineStr">
        <is>
          <t>Shared</t>
        </is>
      </c>
      <c r="I285" s="68" t="inlineStr">
        <is>
          <t>Security</t>
        </is>
      </c>
      <c r="J285" s="69" t="inlineStr">
        <is>
          <t>Must</t>
        </is>
      </c>
      <c r="K285" s="69" t="inlineStr">
        <is>
          <t>MVP</t>
        </is>
      </c>
      <c r="L285" s="69" t="n">
        <v>3</v>
      </c>
      <c r="M285" s="69" t="n">
        <v>5</v>
      </c>
      <c r="N285" s="68">
        <f>IF(M285&lt;=4,"R1 Foundation",IF(M285&lt;=8,"R2 Core Clinic",IF(M285&lt;=13,"R3 Revenue &amp; Messaging",IF(M285&lt;=18,"R4 Patient &amp; Platform",IF(M285&lt;=20,"R5 Harden","R6 Launch")))))</f>
        <v/>
      </c>
      <c r="O285" s="70">
        <f>L285*README!$B$32</f>
        <v/>
      </c>
      <c r="P285" s="68" t="inlineStr">
        <is>
          <t>NB-299</t>
        </is>
      </c>
      <c r="Q285" s="68" t="inlineStr">
        <is>
          <t>SSL Labs A+ on all public endpoints</t>
        </is>
      </c>
      <c r="R285" s="68" t="inlineStr">
        <is>
          <t>Not started</t>
        </is>
      </c>
      <c r="S285" s="68" t="n"/>
    </row>
    <row r="286" ht="15" customHeight="1" s="51">
      <c r="A286" s="62" t="inlineStr">
        <is>
          <t>NB-285</t>
        </is>
      </c>
      <c r="B286" s="62" t="inlineStr">
        <is>
          <t>E24 Cybersecurity</t>
        </is>
      </c>
      <c r="C286" s="62" t="inlineStr">
        <is>
          <t>Security</t>
        </is>
      </c>
      <c r="D286" s="62" t="inlineStr">
        <is>
          <t>PHI field-level encryption &amp; tokenisation</t>
        </is>
      </c>
      <c r="E286" s="62" t="inlineStr">
        <is>
          <t>National identifiers and sensitive fields encrypted at column level.</t>
        </is>
      </c>
      <c r="F286" s="62" t="n"/>
      <c r="G286" s="62" t="inlineStr">
        <is>
          <t>All</t>
        </is>
      </c>
      <c r="H286" s="62" t="inlineStr">
        <is>
          <t>Shared</t>
        </is>
      </c>
      <c r="I286" s="62" t="inlineStr">
        <is>
          <t>Security</t>
        </is>
      </c>
      <c r="J286" s="66" t="inlineStr">
        <is>
          <t>Must</t>
        </is>
      </c>
      <c r="K286" s="66" t="inlineStr">
        <is>
          <t>MVP</t>
        </is>
      </c>
      <c r="L286" s="66" t="n">
        <v>5</v>
      </c>
      <c r="M286" s="66" t="n">
        <v>8</v>
      </c>
      <c r="N286" s="62">
        <f>IF(M286&lt;=4,"R1 Foundation",IF(M286&lt;=8,"R2 Core Clinic",IF(M286&lt;=13,"R3 Revenue &amp; Messaging",IF(M286&lt;=18,"R4 Patient &amp; Platform",IF(M286&lt;=20,"R5 Harden","R6 Launch")))))</f>
        <v/>
      </c>
      <c r="O286" s="67">
        <f>L286*README!$B$32</f>
        <v/>
      </c>
      <c r="P286" s="62" t="inlineStr">
        <is>
          <t>NB-283, NB-255</t>
        </is>
      </c>
      <c r="Q286" s="62" t="inlineStr">
        <is>
          <t>A database dump exposes no plaintext national identifier</t>
        </is>
      </c>
      <c r="R286" s="62" t="inlineStr">
        <is>
          <t>Not started</t>
        </is>
      </c>
      <c r="S286" s="62" t="n"/>
    </row>
    <row r="287" ht="23.85" customHeight="1" s="51">
      <c r="A287" s="68" t="inlineStr">
        <is>
          <t>NB-286</t>
        </is>
      </c>
      <c r="B287" s="68" t="inlineStr">
        <is>
          <t>E24 Cybersecurity</t>
        </is>
      </c>
      <c r="C287" s="68" t="inlineStr">
        <is>
          <t>Security</t>
        </is>
      </c>
      <c r="D287" s="68" t="inlineStr">
        <is>
          <t>Input validation &amp; injection defence</t>
        </is>
      </c>
      <c r="E287" s="68" t="inlineStr">
        <is>
          <t>Parameterised queries, schema validation on every endpoint, output encoding.</t>
        </is>
      </c>
      <c r="F287" s="68" t="n"/>
      <c r="G287" s="68" t="inlineStr">
        <is>
          <t>All</t>
        </is>
      </c>
      <c r="H287" s="68" t="inlineStr">
        <is>
          <t>Shared</t>
        </is>
      </c>
      <c r="I287" s="68" t="inlineStr">
        <is>
          <t>Security</t>
        </is>
      </c>
      <c r="J287" s="69" t="inlineStr">
        <is>
          <t>Must</t>
        </is>
      </c>
      <c r="K287" s="69" t="inlineStr">
        <is>
          <t>MVP</t>
        </is>
      </c>
      <c r="L287" s="69" t="n">
        <v>5</v>
      </c>
      <c r="M287" s="69" t="n">
        <v>6</v>
      </c>
      <c r="N287" s="68">
        <f>IF(M287&lt;=4,"R1 Foundation",IF(M287&lt;=8,"R2 Core Clinic",IF(M287&lt;=13,"R3 Revenue &amp; Messaging",IF(M287&lt;=18,"R4 Patient &amp; Platform",IF(M287&lt;=20,"R5 Harden","R6 Launch")))))</f>
        <v/>
      </c>
      <c r="O287" s="70">
        <f>L287*README!$B$32</f>
        <v/>
      </c>
      <c r="P287" s="68" t="inlineStr">
        <is>
          <t>NB-005</t>
        </is>
      </c>
      <c r="Q287" s="68" t="inlineStr">
        <is>
          <t>SAST and DAST report zero high-severity injection findings</t>
        </is>
      </c>
      <c r="R287" s="68" t="inlineStr">
        <is>
          <t>Not started</t>
        </is>
      </c>
      <c r="S287" s="68" t="n"/>
    </row>
    <row r="288" ht="23.85" customHeight="1" s="51">
      <c r="A288" s="62" t="inlineStr">
        <is>
          <t>NB-287</t>
        </is>
      </c>
      <c r="B288" s="62" t="inlineStr">
        <is>
          <t>E24 Cybersecurity</t>
        </is>
      </c>
      <c r="C288" s="62" t="inlineStr">
        <is>
          <t>Security</t>
        </is>
      </c>
      <c r="D288" s="62" t="inlineStr">
        <is>
          <t>OWASP Top 10 &amp; API Top 10 remediation pass</t>
        </is>
      </c>
      <c r="E288" s="62" t="inlineStr">
        <is>
          <t>Systematic review including IDOR/BOLA on every patient-scoped and family-scoped route.</t>
        </is>
      </c>
      <c r="F288" s="62" t="n"/>
      <c r="G288" s="62" t="inlineStr">
        <is>
          <t>All</t>
        </is>
      </c>
      <c r="H288" s="62" t="inlineStr">
        <is>
          <t>Shared</t>
        </is>
      </c>
      <c r="I288" s="62" t="inlineStr">
        <is>
          <t>Security</t>
        </is>
      </c>
      <c r="J288" s="66" t="inlineStr">
        <is>
          <t>Must</t>
        </is>
      </c>
      <c r="K288" s="66" t="inlineStr">
        <is>
          <t>MVP</t>
        </is>
      </c>
      <c r="L288" s="66" t="n">
        <v>8</v>
      </c>
      <c r="M288" s="66" t="n">
        <v>16</v>
      </c>
      <c r="N288" s="62">
        <f>IF(M288&lt;=4,"R1 Foundation",IF(M288&lt;=8,"R2 Core Clinic",IF(M288&lt;=13,"R3 Revenue &amp; Messaging",IF(M288&lt;=18,"R4 Patient &amp; Platform",IF(M288&lt;=20,"R5 Harden","R6 Launch")))))</f>
        <v/>
      </c>
      <c r="O288" s="67">
        <f>L288*README!$B$32</f>
        <v/>
      </c>
      <c r="P288" s="62" t="inlineStr">
        <is>
          <t>NB-050, NB-286</t>
        </is>
      </c>
      <c r="Q288" s="62" t="inlineStr">
        <is>
          <t>No high or critical findings open at release</t>
        </is>
      </c>
      <c r="R288" s="62" t="inlineStr">
        <is>
          <t>Not started</t>
        </is>
      </c>
      <c r="S288" s="62" t="n"/>
    </row>
    <row r="289" ht="23.85" customHeight="1" s="51">
      <c r="A289" s="68" t="inlineStr">
        <is>
          <t>NB-288</t>
        </is>
      </c>
      <c r="B289" s="68" t="inlineStr">
        <is>
          <t>E24 Cybersecurity</t>
        </is>
      </c>
      <c r="C289" s="68" t="inlineStr">
        <is>
          <t>Security</t>
        </is>
      </c>
      <c r="D289" s="68" t="inlineStr">
        <is>
          <t>Rate limiting, bot &amp; abuse protection</t>
        </is>
      </c>
      <c r="E289" s="68" t="inlineStr">
        <is>
          <t>Per IP, tenant, user and phone number. The unified aggregator number is a public entry point and needs its own limits.</t>
        </is>
      </c>
      <c r="F289" s="68" t="inlineStr">
        <is>
          <t>AGG-01,NFR-02</t>
        </is>
      </c>
      <c r="G289" s="68" t="inlineStr">
        <is>
          <t>All</t>
        </is>
      </c>
      <c r="H289" s="68" t="inlineStr">
        <is>
          <t>Shared</t>
        </is>
      </c>
      <c r="I289" s="68" t="inlineStr">
        <is>
          <t>Security</t>
        </is>
      </c>
      <c r="J289" s="69" t="inlineStr">
        <is>
          <t>Must</t>
        </is>
      </c>
      <c r="K289" s="69" t="inlineStr">
        <is>
          <t>MVP</t>
        </is>
      </c>
      <c r="L289" s="69" t="n">
        <v>8</v>
      </c>
      <c r="M289" s="69" t="n">
        <v>10</v>
      </c>
      <c r="N289" s="68">
        <f>IF(M289&lt;=4,"R1 Foundation",IF(M289&lt;=8,"R2 Core Clinic",IF(M289&lt;=13,"R3 Revenue &amp; Messaging",IF(M289&lt;=18,"R4 Patient &amp; Platform",IF(M289&lt;=20,"R5 Harden","R6 Launch")))))</f>
        <v/>
      </c>
      <c r="O289" s="70">
        <f>L289*README!$B$32</f>
        <v/>
      </c>
      <c r="P289" s="68" t="inlineStr">
        <is>
          <t>NB-006</t>
        </is>
      </c>
      <c r="Q289" s="68" t="inlineStr">
        <is>
          <t>Load test confirms limits; the shared aggregator number resists enumeration and flooding</t>
        </is>
      </c>
      <c r="R289" s="68" t="inlineStr">
        <is>
          <t>Not started</t>
        </is>
      </c>
      <c r="S289" s="68" t="n"/>
    </row>
    <row r="290" ht="23.85" customHeight="1" s="51">
      <c r="A290" s="62" t="inlineStr">
        <is>
          <t>NB-289</t>
        </is>
      </c>
      <c r="B290" s="62" t="inlineStr">
        <is>
          <t>E24 Cybersecurity</t>
        </is>
      </c>
      <c r="C290" s="62" t="inlineStr">
        <is>
          <t>Security</t>
        </is>
      </c>
      <c r="D290" s="62" t="inlineStr">
        <is>
          <t>Messaging channel abuse &amp; impersonation controls</t>
        </is>
      </c>
      <c r="E290" s="62" t="inlineStr">
        <is>
          <t>Preventing a hijacked or spoofed number from reaching patient data through the chat surface.</t>
        </is>
      </c>
      <c r="F290" s="62" t="inlineStr">
        <is>
          <t>PAT-01,CGV-06</t>
        </is>
      </c>
      <c r="G290" s="62" t="inlineStr">
        <is>
          <t>Patient</t>
        </is>
      </c>
      <c r="H290" s="62" t="inlineStr">
        <is>
          <t>Patient</t>
        </is>
      </c>
      <c r="I290" s="62" t="inlineStr">
        <is>
          <t>Security</t>
        </is>
      </c>
      <c r="J290" s="66" t="inlineStr">
        <is>
          <t>Must</t>
        </is>
      </c>
      <c r="K290" s="66" t="inlineStr">
        <is>
          <t>MVP</t>
        </is>
      </c>
      <c r="L290" s="66" t="n">
        <v>8</v>
      </c>
      <c r="M290" s="66" t="n">
        <v>15</v>
      </c>
      <c r="N290" s="62">
        <f>IF(M290&lt;=4,"R1 Foundation",IF(M290&lt;=8,"R2 Core Clinic",IF(M290&lt;=13,"R3 Revenue &amp; Messaging",IF(M290&lt;=18,"R4 Patient &amp; Platform",IF(M290&lt;=20,"R5 Harden","R6 Launch")))))</f>
        <v/>
      </c>
      <c r="O290" s="67">
        <f>L290*README!$B$32</f>
        <v/>
      </c>
      <c r="P290" s="62" t="inlineStr">
        <is>
          <t>NB-201, NB-288</t>
        </is>
      </c>
      <c r="Q290" s="62" t="inlineStr">
        <is>
          <t>A number change requires re-verification before any patient data is released</t>
        </is>
      </c>
      <c r="R290" s="62" t="inlineStr">
        <is>
          <t>Not started</t>
        </is>
      </c>
      <c r="S290" s="62" t="n"/>
    </row>
    <row r="291" ht="23.85" customHeight="1" s="51">
      <c r="A291" s="68" t="inlineStr">
        <is>
          <t>NB-290</t>
        </is>
      </c>
      <c r="B291" s="68" t="inlineStr">
        <is>
          <t>E24 Cybersecurity</t>
        </is>
      </c>
      <c r="C291" s="68" t="inlineStr">
        <is>
          <t>Security</t>
        </is>
      </c>
      <c r="D291" s="68" t="inlineStr">
        <is>
          <t>Secrets scanning &amp; dependency vulnerability management</t>
        </is>
      </c>
      <c r="E291" s="68" t="inlineStr">
        <is>
          <t>SCA in CI, SBOM per release, patch SLA by severity.</t>
        </is>
      </c>
      <c r="F291" s="68" t="n"/>
      <c r="G291" s="68" t="inlineStr">
        <is>
          <t>All</t>
        </is>
      </c>
      <c r="H291" s="68" t="inlineStr">
        <is>
          <t>Shared</t>
        </is>
      </c>
      <c r="I291" s="68" t="inlineStr">
        <is>
          <t>Security</t>
        </is>
      </c>
      <c r="J291" s="69" t="inlineStr">
        <is>
          <t>Must</t>
        </is>
      </c>
      <c r="K291" s="69" t="inlineStr">
        <is>
          <t>MVP</t>
        </is>
      </c>
      <c r="L291" s="69" t="n">
        <v>5</v>
      </c>
      <c r="M291" s="69" t="n">
        <v>6</v>
      </c>
      <c r="N291" s="68">
        <f>IF(M291&lt;=4,"R1 Foundation",IF(M291&lt;=8,"R2 Core Clinic",IF(M291&lt;=13,"R3 Revenue &amp; Messaging",IF(M291&lt;=18,"R4 Patient &amp; Platform",IF(M291&lt;=20,"R5 Harden","R6 Launch")))))</f>
        <v/>
      </c>
      <c r="O291" s="70">
        <f>L291*README!$B$32</f>
        <v/>
      </c>
      <c r="P291" s="68" t="inlineStr">
        <is>
          <t>NB-298</t>
        </is>
      </c>
      <c r="Q291" s="68" t="inlineStr">
        <is>
          <t>Build fails on a critical CVE; SBOM published per release</t>
        </is>
      </c>
      <c r="R291" s="68" t="inlineStr">
        <is>
          <t>Not started</t>
        </is>
      </c>
      <c r="S291" s="68" t="n"/>
    </row>
    <row r="292" ht="23.85" customHeight="1" s="51">
      <c r="A292" s="62" t="inlineStr">
        <is>
          <t>NB-291</t>
        </is>
      </c>
      <c r="B292" s="62" t="inlineStr">
        <is>
          <t>E24 Cybersecurity</t>
        </is>
      </c>
      <c r="C292" s="62" t="inlineStr">
        <is>
          <t>Security</t>
        </is>
      </c>
      <c r="D292" s="62" t="inlineStr">
        <is>
          <t>Security headers &amp; frontend hardening</t>
        </is>
      </c>
      <c r="E292" s="62" t="inlineStr">
        <is>
          <t>CSP in enforce mode, framing protections, no inline script, subresource integrity.</t>
        </is>
      </c>
      <c r="F292" s="62" t="n"/>
      <c r="G292" s="62" t="inlineStr">
        <is>
          <t>All</t>
        </is>
      </c>
      <c r="H292" s="62" t="inlineStr">
        <is>
          <t>Shared</t>
        </is>
      </c>
      <c r="I292" s="62" t="inlineStr">
        <is>
          <t>Security</t>
        </is>
      </c>
      <c r="J292" s="66" t="inlineStr">
        <is>
          <t>Must</t>
        </is>
      </c>
      <c r="K292" s="66" t="inlineStr">
        <is>
          <t>MVP</t>
        </is>
      </c>
      <c r="L292" s="66" t="n">
        <v>3</v>
      </c>
      <c r="M292" s="66" t="n">
        <v>9</v>
      </c>
      <c r="N292" s="62">
        <f>IF(M292&lt;=4,"R1 Foundation",IF(M292&lt;=8,"R2 Core Clinic",IF(M292&lt;=13,"R3 Revenue &amp; Messaging",IF(M292&lt;=18,"R4 Patient &amp; Platform",IF(M292&lt;=20,"R5 Harden","R6 Launch")))))</f>
        <v/>
      </c>
      <c r="O292" s="67">
        <f>L292*README!$B$32</f>
        <v/>
      </c>
      <c r="P292" s="62" t="inlineStr">
        <is>
          <t>NB-017</t>
        </is>
      </c>
      <c r="Q292" s="62" t="inlineStr">
        <is>
          <t>CSP enforced with zero violations in production</t>
        </is>
      </c>
      <c r="R292" s="62" t="inlineStr">
        <is>
          <t>Not started</t>
        </is>
      </c>
      <c r="S292" s="62" t="n"/>
    </row>
    <row r="293" ht="23.85" customHeight="1" s="51">
      <c r="A293" s="68" t="inlineStr">
        <is>
          <t>NB-292</t>
        </is>
      </c>
      <c r="B293" s="68" t="inlineStr">
        <is>
          <t>E24 Cybersecurity</t>
        </is>
      </c>
      <c r="C293" s="68" t="inlineStr">
        <is>
          <t>Security</t>
        </is>
      </c>
      <c r="D293" s="68" t="inlineStr">
        <is>
          <t>File upload security pipeline</t>
        </is>
      </c>
      <c r="E293" s="68" t="inlineStr">
        <is>
          <t>Type verification, size limits, AV scan, sandboxed rendering and no direct object URLs.</t>
        </is>
      </c>
      <c r="F293" s="68" t="inlineStr">
        <is>
          <t>SYS-18</t>
        </is>
      </c>
      <c r="G293" s="68" t="inlineStr">
        <is>
          <t>All</t>
        </is>
      </c>
      <c r="H293" s="68" t="inlineStr">
        <is>
          <t>Shared</t>
        </is>
      </c>
      <c r="I293" s="68" t="inlineStr">
        <is>
          <t>Security</t>
        </is>
      </c>
      <c r="J293" s="69" t="inlineStr">
        <is>
          <t>Must</t>
        </is>
      </c>
      <c r="K293" s="69" t="inlineStr">
        <is>
          <t>MVP</t>
        </is>
      </c>
      <c r="L293" s="69" t="n">
        <v>5</v>
      </c>
      <c r="M293" s="69" t="n">
        <v>12</v>
      </c>
      <c r="N293" s="68">
        <f>IF(M293&lt;=4,"R1 Foundation",IF(M293&lt;=8,"R2 Core Clinic",IF(M293&lt;=13,"R3 Revenue &amp; Messaging",IF(M293&lt;=18,"R4 Patient &amp; Platform",IF(M293&lt;=20,"R5 Harden","R6 Launch")))))</f>
        <v/>
      </c>
      <c r="O293" s="70">
        <f>L293*README!$B$32</f>
        <v/>
      </c>
      <c r="P293" s="68" t="inlineStr">
        <is>
          <t>NB-009</t>
        </is>
      </c>
      <c r="Q293" s="68" t="inlineStr">
        <is>
          <t>EICAR test file rejected; only signed short-lived URLs are issued</t>
        </is>
      </c>
      <c r="R293" s="68" t="inlineStr">
        <is>
          <t>Not started</t>
        </is>
      </c>
      <c r="S293" s="68" t="n"/>
    </row>
    <row r="294" ht="23.85" customHeight="1" s="51">
      <c r="A294" s="62" t="inlineStr">
        <is>
          <t>NB-293</t>
        </is>
      </c>
      <c r="B294" s="62" t="inlineStr">
        <is>
          <t>E24 Cybersecurity</t>
        </is>
      </c>
      <c r="C294" s="62" t="inlineStr">
        <is>
          <t>Security</t>
        </is>
      </c>
      <c r="D294" s="62" t="inlineStr">
        <is>
          <t>Security logging, SIEM &amp; alerting</t>
        </is>
      </c>
      <c r="E294" s="62" t="inlineStr">
        <is>
          <t>Auth failures, privilege changes, break-glass, support access and mass export all alerted.</t>
        </is>
      </c>
      <c r="F294" s="62" t="inlineStr">
        <is>
          <t>SSA-05,SYS-13</t>
        </is>
      </c>
      <c r="G294" s="62" t="inlineStr">
        <is>
          <t>Platform</t>
        </is>
      </c>
      <c r="H294" s="62" t="inlineStr">
        <is>
          <t>Shared</t>
        </is>
      </c>
      <c r="I294" s="62" t="inlineStr">
        <is>
          <t>Security</t>
        </is>
      </c>
      <c r="J294" s="66" t="inlineStr">
        <is>
          <t>Must</t>
        </is>
      </c>
      <c r="K294" s="66" t="inlineStr">
        <is>
          <t>MVP</t>
        </is>
      </c>
      <c r="L294" s="66" t="n">
        <v>8</v>
      </c>
      <c r="M294" s="66" t="n">
        <v>16</v>
      </c>
      <c r="N294" s="62">
        <f>IF(M294&lt;=4,"R1 Foundation",IF(M294&lt;=8,"R2 Core Clinic",IF(M294&lt;=13,"R3 Revenue &amp; Messaging",IF(M294&lt;=18,"R4 Patient &amp; Platform",IF(M294&lt;=20,"R5 Harden","R6 Launch")))))</f>
        <v/>
      </c>
      <c r="O294" s="67">
        <f>L294*README!$B$32</f>
        <v/>
      </c>
      <c r="P294" s="62" t="inlineStr">
        <is>
          <t>NB-238, NB-304</t>
        </is>
      </c>
      <c r="Q294" s="62" t="inlineStr">
        <is>
          <t>Detection rules fire in a simulated attack drill</t>
        </is>
      </c>
      <c r="R294" s="62" t="inlineStr">
        <is>
          <t>Not started</t>
        </is>
      </c>
      <c r="S294" s="62" t="n"/>
    </row>
    <row r="295" ht="23.85" customHeight="1" s="51">
      <c r="A295" s="68" t="inlineStr">
        <is>
          <t>NB-294</t>
        </is>
      </c>
      <c r="B295" s="68" t="inlineStr">
        <is>
          <t>E24 Cybersecurity</t>
        </is>
      </c>
      <c r="C295" s="68" t="inlineStr">
        <is>
          <t>Security</t>
        </is>
      </c>
      <c r="D295" s="68" t="inlineStr">
        <is>
          <t>Annual CERT-In-empanelled VAPT — India</t>
        </is>
      </c>
      <c r="E295" s="68" t="inlineStr">
        <is>
          <t>India requires an annual VAPT by a CERT-In empanelled assessor, plus an annual drill with tenants.</t>
        </is>
      </c>
      <c r="F295" s="68" t="inlineStr">
        <is>
          <t>NFR-09</t>
        </is>
      </c>
      <c r="G295" s="68" t="inlineStr">
        <is>
          <t>All</t>
        </is>
      </c>
      <c r="H295" s="68" t="inlineStr">
        <is>
          <t>Shared</t>
        </is>
      </c>
      <c r="I295" s="68" t="inlineStr">
        <is>
          <t>Security</t>
        </is>
      </c>
      <c r="J295" s="69" t="inlineStr">
        <is>
          <t>Must</t>
        </is>
      </c>
      <c r="K295" s="69" t="inlineStr">
        <is>
          <t>MVP</t>
        </is>
      </c>
      <c r="L295" s="69" t="n">
        <v>13</v>
      </c>
      <c r="M295" s="69" t="n">
        <v>20</v>
      </c>
      <c r="N295" s="68">
        <f>IF(M295&lt;=4,"R1 Foundation",IF(M295&lt;=8,"R2 Core Clinic",IF(M295&lt;=13,"R3 Revenue &amp; Messaging",IF(M295&lt;=18,"R4 Patient &amp; Platform",IF(M295&lt;=20,"R5 Harden","R6 Launch")))))</f>
        <v/>
      </c>
      <c r="O295" s="70">
        <f>L295*README!$B$32</f>
        <v/>
      </c>
      <c r="P295" s="68" t="inlineStr">
        <is>
          <t>NB-287, NB-050</t>
        </is>
      </c>
      <c r="Q295" s="68" t="inlineStr">
        <is>
          <t>CERT-In empanelled assessor engaged; all critical and high findings closed and retested</t>
        </is>
      </c>
      <c r="R295" s="68" t="inlineStr">
        <is>
          <t>Not started</t>
        </is>
      </c>
      <c r="S295" s="68" t="n"/>
    </row>
    <row r="296" ht="23.85" customHeight="1" s="51">
      <c r="A296" s="62" t="inlineStr">
        <is>
          <t>NB-295</t>
        </is>
      </c>
      <c r="B296" s="62" t="inlineStr">
        <is>
          <t>E24 Cybersecurity</t>
        </is>
      </c>
      <c r="C296" s="62" t="inlineStr">
        <is>
          <t>Security</t>
        </is>
      </c>
      <c r="D296" s="62" t="inlineStr">
        <is>
          <t>KSA penetration test &amp; remediation</t>
        </is>
      </c>
      <c r="E296" s="62" t="inlineStr">
        <is>
          <t>Independent external test covering the KSA stack before go-live in that region.</t>
        </is>
      </c>
      <c r="F296" s="62" t="inlineStr">
        <is>
          <t>NFR-09</t>
        </is>
      </c>
      <c r="G296" s="62" t="inlineStr">
        <is>
          <t>All</t>
        </is>
      </c>
      <c r="H296" s="62" t="inlineStr">
        <is>
          <t>Shared</t>
        </is>
      </c>
      <c r="I296" s="62" t="inlineStr">
        <is>
          <t>Security</t>
        </is>
      </c>
      <c r="J296" s="66" t="inlineStr">
        <is>
          <t>Must</t>
        </is>
      </c>
      <c r="K296" s="66" t="inlineStr">
        <is>
          <t>MVP</t>
        </is>
      </c>
      <c r="L296" s="66" t="n">
        <v>8</v>
      </c>
      <c r="M296" s="66" t="n">
        <v>20</v>
      </c>
      <c r="N296" s="62">
        <f>IF(M296&lt;=4,"R1 Foundation",IF(M296&lt;=8,"R2 Core Clinic",IF(M296&lt;=13,"R3 Revenue &amp; Messaging",IF(M296&lt;=18,"R4 Patient &amp; Platform",IF(M296&lt;=20,"R5 Harden","R6 Launch")))))</f>
        <v/>
      </c>
      <c r="O296" s="67">
        <f>L296*README!$B$32</f>
        <v/>
      </c>
      <c r="P296" s="62" t="inlineStr">
        <is>
          <t>NB-287, NB-271</t>
        </is>
      </c>
      <c r="Q296" s="62" t="inlineStr">
        <is>
          <t>All critical and high findings closed and retested; report archived</t>
        </is>
      </c>
      <c r="R296" s="62" t="inlineStr">
        <is>
          <t>Not started</t>
        </is>
      </c>
      <c r="S296" s="62" t="n"/>
    </row>
    <row r="297" ht="23.85" customHeight="1" s="51">
      <c r="A297" s="68" t="inlineStr">
        <is>
          <t>NB-296</t>
        </is>
      </c>
      <c r="B297" s="68" t="inlineStr">
        <is>
          <t>E24 Cybersecurity</t>
        </is>
      </c>
      <c r="C297" s="68" t="inlineStr">
        <is>
          <t>Security</t>
        </is>
      </c>
      <c r="D297" s="68" t="inlineStr">
        <is>
          <t>Business continuity &amp; ransomware resilience</t>
        </is>
      </c>
      <c r="E297" s="68" t="inlineStr">
        <is>
          <t>Immutable backups, isolated recovery environment and a restore drill.</t>
        </is>
      </c>
      <c r="F297" s="68" t="n"/>
      <c r="G297" s="68" t="inlineStr">
        <is>
          <t>Platform</t>
        </is>
      </c>
      <c r="H297" s="68" t="inlineStr">
        <is>
          <t>Shared</t>
        </is>
      </c>
      <c r="I297" s="68" t="inlineStr">
        <is>
          <t>Security</t>
        </is>
      </c>
      <c r="J297" s="69" t="inlineStr">
        <is>
          <t>Must</t>
        </is>
      </c>
      <c r="K297" s="69" t="inlineStr">
        <is>
          <t>MVP</t>
        </is>
      </c>
      <c r="L297" s="69" t="n">
        <v>8</v>
      </c>
      <c r="M297" s="69" t="n">
        <v>19</v>
      </c>
      <c r="N297" s="68">
        <f>IF(M297&lt;=4,"R1 Foundation",IF(M297&lt;=8,"R2 Core Clinic",IF(M297&lt;=13,"R3 Revenue &amp; Messaging",IF(M297&lt;=18,"R4 Patient &amp; Platform",IF(M297&lt;=20,"R5 Harden","R6 Launch")))))</f>
        <v/>
      </c>
      <c r="O297" s="70">
        <f>L297*README!$B$32</f>
        <v/>
      </c>
      <c r="P297" s="68" t="inlineStr">
        <is>
          <t>NB-306</t>
        </is>
      </c>
      <c r="Q297" s="68" t="inlineStr">
        <is>
          <t>Full restore to a clean environment demonstrated within RTO</t>
        </is>
      </c>
      <c r="R297" s="68" t="inlineStr">
        <is>
          <t>Not started</t>
        </is>
      </c>
      <c r="S297" s="68" t="n"/>
    </row>
    <row r="298" ht="23.85" customHeight="1" s="51">
      <c r="A298" s="62" t="inlineStr">
        <is>
          <t>NB-297</t>
        </is>
      </c>
      <c r="B298" s="62" t="inlineStr">
        <is>
          <t>E25 DevOps &amp; Infrastructure</t>
        </is>
      </c>
      <c r="C298" s="62" t="inlineStr">
        <is>
          <t>DevOps</t>
        </is>
      </c>
      <c r="D298" s="62" t="inlineStr">
        <is>
          <t>Repository, branching &amp; code-review policy</t>
        </is>
      </c>
      <c r="E298" s="62" t="inlineStr">
        <is>
          <t>Trunk-based with short-lived branches, mandatory review and signed commits.</t>
        </is>
      </c>
      <c r="F298" s="62" t="n"/>
      <c r="G298" s="62" t="inlineStr">
        <is>
          <t>All</t>
        </is>
      </c>
      <c r="H298" s="62" t="inlineStr">
        <is>
          <t>Shared</t>
        </is>
      </c>
      <c r="I298" s="62" t="inlineStr">
        <is>
          <t>DevOps</t>
        </is>
      </c>
      <c r="J298" s="66" t="inlineStr">
        <is>
          <t>Must</t>
        </is>
      </c>
      <c r="K298" s="66" t="inlineStr">
        <is>
          <t>MVP</t>
        </is>
      </c>
      <c r="L298" s="66" t="n">
        <v>3</v>
      </c>
      <c r="M298" s="66" t="n">
        <v>1</v>
      </c>
      <c r="N298" s="62">
        <f>IF(M298&lt;=4,"R1 Foundation",IF(M298&lt;=8,"R2 Core Clinic",IF(M298&lt;=13,"R3 Revenue &amp; Messaging",IF(M298&lt;=18,"R4 Patient &amp; Platform",IF(M298&lt;=20,"R5 Harden","R6 Launch")))))</f>
        <v/>
      </c>
      <c r="O298" s="67">
        <f>L298*README!$B$32</f>
        <v/>
      </c>
      <c r="P298" s="62" t="n"/>
      <c r="Q298" s="62" t="inlineStr">
        <is>
          <t>Branch protection enforced; no direct pushes to main</t>
        </is>
      </c>
      <c r="R298" s="62" t="inlineStr">
        <is>
          <t>Not started</t>
        </is>
      </c>
      <c r="S298" s="62" t="n"/>
    </row>
    <row r="299" ht="23.85" customHeight="1" s="51">
      <c r="A299" s="68" t="inlineStr">
        <is>
          <t>NB-298</t>
        </is>
      </c>
      <c r="B299" s="68" t="inlineStr">
        <is>
          <t>E25 DevOps &amp; Infrastructure</t>
        </is>
      </c>
      <c r="C299" s="68" t="inlineStr">
        <is>
          <t>DevOps</t>
        </is>
      </c>
      <c r="D299" s="68" t="inlineStr">
        <is>
          <t>CI pipeline — build, lint, unit test, SAST</t>
        </is>
      </c>
      <c r="E299" s="68" t="inlineStr">
        <is>
          <t>Every pull request gated with feedback in under ten minutes.</t>
        </is>
      </c>
      <c r="F299" s="68" t="n"/>
      <c r="G299" s="68" t="inlineStr">
        <is>
          <t>All</t>
        </is>
      </c>
      <c r="H299" s="68" t="inlineStr">
        <is>
          <t>Shared</t>
        </is>
      </c>
      <c r="I299" s="68" t="inlineStr">
        <is>
          <t>DevOps</t>
        </is>
      </c>
      <c r="J299" s="69" t="inlineStr">
        <is>
          <t>Must</t>
        </is>
      </c>
      <c r="K299" s="69" t="inlineStr">
        <is>
          <t>MVP</t>
        </is>
      </c>
      <c r="L299" s="69" t="n">
        <v>5</v>
      </c>
      <c r="M299" s="69" t="n">
        <v>1</v>
      </c>
      <c r="N299" s="68">
        <f>IF(M299&lt;=4,"R1 Foundation",IF(M299&lt;=8,"R2 Core Clinic",IF(M299&lt;=13,"R3 Revenue &amp; Messaging",IF(M299&lt;=18,"R4 Patient &amp; Platform",IF(M299&lt;=20,"R5 Harden","R6 Launch")))))</f>
        <v/>
      </c>
      <c r="O299" s="70">
        <f>L299*README!$B$32</f>
        <v/>
      </c>
      <c r="P299" s="68" t="inlineStr">
        <is>
          <t>NB-297</t>
        </is>
      </c>
      <c r="Q299" s="68" t="inlineStr">
        <is>
          <t>Pipeline green required to merge; median runtime under ten minutes</t>
        </is>
      </c>
      <c r="R299" s="68" t="inlineStr">
        <is>
          <t>Not started</t>
        </is>
      </c>
      <c r="S299" s="68" t="n"/>
    </row>
    <row r="300" ht="23.85" customHeight="1" s="51">
      <c r="A300" s="62" t="inlineStr">
        <is>
          <t>NB-299</t>
        </is>
      </c>
      <c r="B300" s="62" t="inlineStr">
        <is>
          <t>E25 DevOps &amp; Infrastructure</t>
        </is>
      </c>
      <c r="C300" s="62" t="inlineStr">
        <is>
          <t>DevOps</t>
        </is>
      </c>
      <c r="D300" s="62" t="inlineStr">
        <is>
          <t>Infrastructure as code</t>
        </is>
      </c>
      <c r="E300" s="62" t="inlineStr">
        <is>
          <t>Every environment and both regions defined in code with no console changes.</t>
        </is>
      </c>
      <c r="F300" s="62" t="inlineStr">
        <is>
          <t>NFR-04</t>
        </is>
      </c>
      <c r="G300" s="62" t="inlineStr">
        <is>
          <t>All</t>
        </is>
      </c>
      <c r="H300" s="62" t="inlineStr">
        <is>
          <t>Shared</t>
        </is>
      </c>
      <c r="I300" s="62" t="inlineStr">
        <is>
          <t>DevOps</t>
        </is>
      </c>
      <c r="J300" s="66" t="inlineStr">
        <is>
          <t>Must</t>
        </is>
      </c>
      <c r="K300" s="66" t="inlineStr">
        <is>
          <t>MVP</t>
        </is>
      </c>
      <c r="L300" s="66" t="n">
        <v>8</v>
      </c>
      <c r="M300" s="66" t="n">
        <v>2</v>
      </c>
      <c r="N300" s="62">
        <f>IF(M300&lt;=4,"R1 Foundation",IF(M300&lt;=8,"R2 Core Clinic",IF(M300&lt;=13,"R3 Revenue &amp; Messaging",IF(M300&lt;=18,"R4 Patient &amp; Platform",IF(M300&lt;=20,"R5 Harden","R6 Launch")))))</f>
        <v/>
      </c>
      <c r="O300" s="67">
        <f>L300*README!$B$32</f>
        <v/>
      </c>
      <c r="P300" s="62" t="inlineStr">
        <is>
          <t>NB-001</t>
        </is>
      </c>
      <c r="Q300" s="62" t="inlineStr">
        <is>
          <t>Environment reproducible from scratch in a clean account</t>
        </is>
      </c>
      <c r="R300" s="62" t="inlineStr">
        <is>
          <t>Not started</t>
        </is>
      </c>
      <c r="S300" s="62" t="n"/>
    </row>
    <row r="301" ht="23.85" customHeight="1" s="51">
      <c r="A301" s="68" t="inlineStr">
        <is>
          <t>NB-300</t>
        </is>
      </c>
      <c r="B301" s="68" t="inlineStr">
        <is>
          <t>E25 DevOps &amp; Infrastructure</t>
        </is>
      </c>
      <c r="C301" s="68" t="inlineStr">
        <is>
          <t>DevOps</t>
        </is>
      </c>
      <c r="D301" s="68" t="inlineStr">
        <is>
          <t>Containerisation &amp; orchestration</t>
        </is>
      </c>
      <c r="E301" s="68" t="inlineStr">
        <is>
          <t>Container images with resource limits on a managed orchestration platform.</t>
        </is>
      </c>
      <c r="F301" s="68" t="n"/>
      <c r="G301" s="68" t="inlineStr">
        <is>
          <t>All</t>
        </is>
      </c>
      <c r="H301" s="68" t="inlineStr">
        <is>
          <t>Shared</t>
        </is>
      </c>
      <c r="I301" s="68" t="inlineStr">
        <is>
          <t>DevOps</t>
        </is>
      </c>
      <c r="J301" s="69" t="inlineStr">
        <is>
          <t>Must</t>
        </is>
      </c>
      <c r="K301" s="69" t="inlineStr">
        <is>
          <t>MVP</t>
        </is>
      </c>
      <c r="L301" s="69" t="n">
        <v>8</v>
      </c>
      <c r="M301" s="69" t="n">
        <v>3</v>
      </c>
      <c r="N301" s="68">
        <f>IF(M301&lt;=4,"R1 Foundation",IF(M301&lt;=8,"R2 Core Clinic",IF(M301&lt;=13,"R3 Revenue &amp; Messaging",IF(M301&lt;=18,"R4 Patient &amp; Platform",IF(M301&lt;=20,"R5 Harden","R6 Launch")))))</f>
        <v/>
      </c>
      <c r="O301" s="70">
        <f>L301*README!$B$32</f>
        <v/>
      </c>
      <c r="P301" s="68" t="inlineStr">
        <is>
          <t>NB-299</t>
        </is>
      </c>
      <c r="Q301" s="68" t="inlineStr">
        <is>
          <t>Rolling deploy with zero dropped requests</t>
        </is>
      </c>
      <c r="R301" s="68" t="inlineStr">
        <is>
          <t>Not started</t>
        </is>
      </c>
      <c r="S301" s="68" t="n"/>
    </row>
    <row r="302" ht="23.85" customHeight="1" s="51">
      <c r="A302" s="62" t="inlineStr">
        <is>
          <t>NB-301</t>
        </is>
      </c>
      <c r="B302" s="62" t="inlineStr">
        <is>
          <t>E25 DevOps &amp; Infrastructure</t>
        </is>
      </c>
      <c r="C302" s="62" t="inlineStr">
        <is>
          <t>DevOps</t>
        </is>
      </c>
      <c r="D302" s="62" t="inlineStr">
        <is>
          <t>Environment strategy — dev, test, staging, production</t>
        </is>
      </c>
      <c r="E302" s="62" t="inlineStr">
        <is>
          <t>Isolated data; staging mirrors production topology; no PHI outside production.</t>
        </is>
      </c>
      <c r="F302" s="62" t="n"/>
      <c r="G302" s="62" t="inlineStr">
        <is>
          <t>All</t>
        </is>
      </c>
      <c r="H302" s="62" t="inlineStr">
        <is>
          <t>Shared</t>
        </is>
      </c>
      <c r="I302" s="62" t="inlineStr">
        <is>
          <t>DevOps</t>
        </is>
      </c>
      <c r="J302" s="66" t="inlineStr">
        <is>
          <t>Must</t>
        </is>
      </c>
      <c r="K302" s="66" t="inlineStr">
        <is>
          <t>MVP</t>
        </is>
      </c>
      <c r="L302" s="66" t="n">
        <v>5</v>
      </c>
      <c r="M302" s="66" t="n">
        <v>3</v>
      </c>
      <c r="N302" s="62">
        <f>IF(M302&lt;=4,"R1 Foundation",IF(M302&lt;=8,"R2 Core Clinic",IF(M302&lt;=13,"R3 Revenue &amp; Messaging",IF(M302&lt;=18,"R4 Patient &amp; Platform",IF(M302&lt;=20,"R5 Harden","R6 Launch")))))</f>
        <v/>
      </c>
      <c r="O302" s="67">
        <f>L302*README!$B$32</f>
        <v/>
      </c>
      <c r="P302" s="62" t="inlineStr">
        <is>
          <t>NB-299</t>
        </is>
      </c>
      <c r="Q302" s="62" t="inlineStr">
        <is>
          <t>Staging seeded with synthetic data only, verified by scan</t>
        </is>
      </c>
      <c r="R302" s="62" t="inlineStr">
        <is>
          <t>Not started</t>
        </is>
      </c>
      <c r="S302" s="62" t="n"/>
    </row>
    <row r="303" ht="15" customHeight="1" s="51">
      <c r="A303" s="68" t="inlineStr">
        <is>
          <t>NB-302</t>
        </is>
      </c>
      <c r="B303" s="68" t="inlineStr">
        <is>
          <t>E25 DevOps &amp; Infrastructure</t>
        </is>
      </c>
      <c r="C303" s="68" t="inlineStr">
        <is>
          <t>DevOps</t>
        </is>
      </c>
      <c r="D303" s="68" t="inlineStr">
        <is>
          <t>CD pipeline with progressive delivery</t>
        </is>
      </c>
      <c r="E303" s="68" t="inlineStr">
        <is>
          <t>Automated deploy, canary or blue-green, one-click rollback.</t>
        </is>
      </c>
      <c r="F303" s="68" t="n"/>
      <c r="G303" s="68" t="inlineStr">
        <is>
          <t>All</t>
        </is>
      </c>
      <c r="H303" s="68" t="inlineStr">
        <is>
          <t>Shared</t>
        </is>
      </c>
      <c r="I303" s="68" t="inlineStr">
        <is>
          <t>DevOps</t>
        </is>
      </c>
      <c r="J303" s="69" t="inlineStr">
        <is>
          <t>Must</t>
        </is>
      </c>
      <c r="K303" s="69" t="inlineStr">
        <is>
          <t>MVP</t>
        </is>
      </c>
      <c r="L303" s="69" t="n">
        <v>8</v>
      </c>
      <c r="M303" s="69" t="n">
        <v>5</v>
      </c>
      <c r="N303" s="68">
        <f>IF(M303&lt;=4,"R1 Foundation",IF(M303&lt;=8,"R2 Core Clinic",IF(M303&lt;=13,"R3 Revenue &amp; Messaging",IF(M303&lt;=18,"R4 Patient &amp; Platform",IF(M303&lt;=20,"R5 Harden","R6 Launch")))))</f>
        <v/>
      </c>
      <c r="O303" s="70">
        <f>L303*README!$B$32</f>
        <v/>
      </c>
      <c r="P303" s="68" t="inlineStr">
        <is>
          <t>NB-300, NB-298</t>
        </is>
      </c>
      <c r="Q303" s="68" t="inlineStr">
        <is>
          <t>Rollback completes in under five minutes in a drill</t>
        </is>
      </c>
      <c r="R303" s="68" t="inlineStr">
        <is>
          <t>Not started</t>
        </is>
      </c>
      <c r="S303" s="68" t="n"/>
    </row>
    <row r="304" ht="23.85" customHeight="1" s="51">
      <c r="A304" s="62" t="inlineStr">
        <is>
          <t>NB-303</t>
        </is>
      </c>
      <c r="B304" s="62" t="inlineStr">
        <is>
          <t>E25 DevOps &amp; Infrastructure</t>
        </is>
      </c>
      <c r="C304" s="62" t="inlineStr">
        <is>
          <t>DevOps</t>
        </is>
      </c>
      <c r="D304" s="62" t="inlineStr">
        <is>
          <t>Zero-downtime database migration automation</t>
        </is>
      </c>
      <c r="E304" s="62" t="inlineStr">
        <is>
          <t>Expand-contract migrations through the pipeline with a rollback plan.</t>
        </is>
      </c>
      <c r="F304" s="62" t="n"/>
      <c r="G304" s="62" t="inlineStr">
        <is>
          <t>All</t>
        </is>
      </c>
      <c r="H304" s="62" t="inlineStr">
        <is>
          <t>Shared</t>
        </is>
      </c>
      <c r="I304" s="62" t="inlineStr">
        <is>
          <t>DevOps</t>
        </is>
      </c>
      <c r="J304" s="66" t="inlineStr">
        <is>
          <t>Must</t>
        </is>
      </c>
      <c r="K304" s="66" t="inlineStr">
        <is>
          <t>MVP</t>
        </is>
      </c>
      <c r="L304" s="66" t="n">
        <v>5</v>
      </c>
      <c r="M304" s="66" t="n">
        <v>6</v>
      </c>
      <c r="N304" s="62">
        <f>IF(M304&lt;=4,"R1 Foundation",IF(M304&lt;=8,"R2 Core Clinic",IF(M304&lt;=13,"R3 Revenue &amp; Messaging",IF(M304&lt;=18,"R4 Patient &amp; Platform",IF(M304&lt;=20,"R5 Harden","R6 Launch")))))</f>
        <v/>
      </c>
      <c r="O304" s="67">
        <f>L304*README!$B$32</f>
        <v/>
      </c>
      <c r="P304" s="62" t="inlineStr">
        <is>
          <t>NB-004, NB-302</t>
        </is>
      </c>
      <c r="Q304" s="62" t="inlineStr">
        <is>
          <t>Migration applied to a production-sized dataset with no downtime</t>
        </is>
      </c>
      <c r="R304" s="62" t="inlineStr">
        <is>
          <t>Not started</t>
        </is>
      </c>
      <c r="S304" s="62" t="n"/>
    </row>
    <row r="305" ht="23.85" customHeight="1" s="51">
      <c r="A305" s="68" t="inlineStr">
        <is>
          <t>NB-304</t>
        </is>
      </c>
      <c r="B305" s="68" t="inlineStr">
        <is>
          <t>E25 DevOps &amp; Infrastructure</t>
        </is>
      </c>
      <c r="C305" s="68" t="inlineStr">
        <is>
          <t>DevOps</t>
        </is>
      </c>
      <c r="D305" s="68" t="inlineStr">
        <is>
          <t>Observability — metrics, logs, traces with PHI redaction</t>
        </is>
      </c>
      <c r="E305" s="68" t="inlineStr">
        <is>
          <t>Structured logs with PHI redaction, distributed tracing and RED/USE dashboards.</t>
        </is>
      </c>
      <c r="F305" s="68" t="n"/>
      <c r="G305" s="68" t="inlineStr">
        <is>
          <t>All</t>
        </is>
      </c>
      <c r="H305" s="68" t="inlineStr">
        <is>
          <t>Shared</t>
        </is>
      </c>
      <c r="I305" s="68" t="inlineStr">
        <is>
          <t>DevOps</t>
        </is>
      </c>
      <c r="J305" s="69" t="inlineStr">
        <is>
          <t>Must</t>
        </is>
      </c>
      <c r="K305" s="69" t="inlineStr">
        <is>
          <t>MVP</t>
        </is>
      </c>
      <c r="L305" s="69" t="n">
        <v>8</v>
      </c>
      <c r="M305" s="69" t="n">
        <v>7</v>
      </c>
      <c r="N305" s="68">
        <f>IF(M305&lt;=4,"R1 Foundation",IF(M305&lt;=8,"R2 Core Clinic",IF(M305&lt;=13,"R3 Revenue &amp; Messaging",IF(M305&lt;=18,"R4 Patient &amp; Platform",IF(M305&lt;=20,"R5 Harden","R6 Launch")))))</f>
        <v/>
      </c>
      <c r="O305" s="70">
        <f>L305*README!$B$32</f>
        <v/>
      </c>
      <c r="P305" s="68" t="inlineStr">
        <is>
          <t>NB-300</t>
        </is>
      </c>
      <c r="Q305" s="68" t="inlineStr">
        <is>
          <t>Automated scanner confirms no PHI in logs; traces span the full request</t>
        </is>
      </c>
      <c r="R305" s="68" t="inlineStr">
        <is>
          <t>Not started</t>
        </is>
      </c>
      <c r="S305" s="68" t="n"/>
    </row>
    <row r="306" ht="23.85" customHeight="1" s="51">
      <c r="A306" s="62" t="inlineStr">
        <is>
          <t>NB-305</t>
        </is>
      </c>
      <c r="B306" s="62" t="inlineStr">
        <is>
          <t>E25 DevOps &amp; Infrastructure</t>
        </is>
      </c>
      <c r="C306" s="62" t="inlineStr">
        <is>
          <t>DevOps</t>
        </is>
      </c>
      <c r="D306" s="62" t="inlineStr">
        <is>
          <t>Alerting, on-call &amp; runbooks</t>
        </is>
      </c>
      <c r="E306" s="62" t="inlineStr">
        <is>
          <t>SLO-based alerts with an escalation policy and a runbook per alert.</t>
        </is>
      </c>
      <c r="F306" s="62" t="n"/>
      <c r="G306" s="62" t="inlineStr">
        <is>
          <t>All</t>
        </is>
      </c>
      <c r="H306" s="62" t="inlineStr">
        <is>
          <t>Shared</t>
        </is>
      </c>
      <c r="I306" s="62" t="inlineStr">
        <is>
          <t>DevOps</t>
        </is>
      </c>
      <c r="J306" s="66" t="inlineStr">
        <is>
          <t>Must</t>
        </is>
      </c>
      <c r="K306" s="66" t="inlineStr">
        <is>
          <t>MVP</t>
        </is>
      </c>
      <c r="L306" s="66" t="n">
        <v>5</v>
      </c>
      <c r="M306" s="66" t="n">
        <v>9</v>
      </c>
      <c r="N306" s="62">
        <f>IF(M306&lt;=4,"R1 Foundation",IF(M306&lt;=8,"R2 Core Clinic",IF(M306&lt;=13,"R3 Revenue &amp; Messaging",IF(M306&lt;=18,"R4 Patient &amp; Platform",IF(M306&lt;=20,"R5 Harden","R6 Launch")))))</f>
        <v/>
      </c>
      <c r="O306" s="67">
        <f>L306*README!$B$32</f>
        <v/>
      </c>
      <c r="P306" s="62" t="inlineStr">
        <is>
          <t>NB-304</t>
        </is>
      </c>
      <c r="Q306" s="62" t="inlineStr">
        <is>
          <t>Every alert links to a runbook; no unactionable alerts</t>
        </is>
      </c>
      <c r="R306" s="62" t="inlineStr">
        <is>
          <t>Not started</t>
        </is>
      </c>
      <c r="S306" s="62" t="n"/>
    </row>
    <row r="307" ht="23.85" customHeight="1" s="51">
      <c r="A307" s="68" t="inlineStr">
        <is>
          <t>NB-306</t>
        </is>
      </c>
      <c r="B307" s="68" t="inlineStr">
        <is>
          <t>E25 DevOps &amp; Infrastructure</t>
        </is>
      </c>
      <c r="C307" s="68" t="inlineStr">
        <is>
          <t>DevOps</t>
        </is>
      </c>
      <c r="D307" s="68" t="inlineStr">
        <is>
          <t>Backup, retention &amp; restore automation</t>
        </is>
      </c>
      <c r="E307" s="68" t="inlineStr">
        <is>
          <t>Point-in-time recovery with encrypted copies held inside the residency boundary.</t>
        </is>
      </c>
      <c r="F307" s="68" t="inlineStr">
        <is>
          <t>NFR-04</t>
        </is>
      </c>
      <c r="G307" s="68" t="inlineStr">
        <is>
          <t>All</t>
        </is>
      </c>
      <c r="H307" s="68" t="inlineStr">
        <is>
          <t>Shared</t>
        </is>
      </c>
      <c r="I307" s="68" t="inlineStr">
        <is>
          <t>DevOps</t>
        </is>
      </c>
      <c r="J307" s="69" t="inlineStr">
        <is>
          <t>Must</t>
        </is>
      </c>
      <c r="K307" s="69" t="inlineStr">
        <is>
          <t>MVP</t>
        </is>
      </c>
      <c r="L307" s="69" t="n">
        <v>5</v>
      </c>
      <c r="M307" s="69" t="n">
        <v>8</v>
      </c>
      <c r="N307" s="68">
        <f>IF(M307&lt;=4,"R1 Foundation",IF(M307&lt;=8,"R2 Core Clinic",IF(M307&lt;=13,"R3 Revenue &amp; Messaging",IF(M307&lt;=18,"R4 Patient &amp; Platform",IF(M307&lt;=20,"R5 Harden","R6 Launch")))))</f>
        <v/>
      </c>
      <c r="O307" s="70">
        <f>L307*README!$B$32</f>
        <v/>
      </c>
      <c r="P307" s="68" t="inlineStr">
        <is>
          <t>NB-299, NB-283</t>
        </is>
      </c>
      <c r="Q307" s="68" t="inlineStr">
        <is>
          <t>Automated monthly restore test passes; no backup crosses a region boundary</t>
        </is>
      </c>
      <c r="R307" s="68" t="inlineStr">
        <is>
          <t>Not started</t>
        </is>
      </c>
      <c r="S307" s="68" t="n"/>
    </row>
    <row r="308" ht="23.85" customHeight="1" s="51">
      <c r="A308" s="62" t="inlineStr">
        <is>
          <t>NB-307</t>
        </is>
      </c>
      <c r="B308" s="62" t="inlineStr">
        <is>
          <t>E25 DevOps &amp; Infrastructure</t>
        </is>
      </c>
      <c r="C308" s="62" t="inlineStr">
        <is>
          <t>DevOps</t>
        </is>
      </c>
      <c r="D308" s="62" t="inlineStr">
        <is>
          <t>Disaster recovery — RTO/RPO definition &amp; drill</t>
        </is>
      </c>
      <c r="E308" s="62" t="inlineStr">
        <is>
          <t>Target RTO four hours, RPO fifteen minutes, documented and exercised per region.</t>
        </is>
      </c>
      <c r="F308" s="62" t="n"/>
      <c r="G308" s="62" t="inlineStr">
        <is>
          <t>All</t>
        </is>
      </c>
      <c r="H308" s="62" t="inlineStr">
        <is>
          <t>Shared</t>
        </is>
      </c>
      <c r="I308" s="62" t="inlineStr">
        <is>
          <t>DevOps</t>
        </is>
      </c>
      <c r="J308" s="66" t="inlineStr">
        <is>
          <t>Must</t>
        </is>
      </c>
      <c r="K308" s="66" t="inlineStr">
        <is>
          <t>MVP</t>
        </is>
      </c>
      <c r="L308" s="66" t="n">
        <v>8</v>
      </c>
      <c r="M308" s="66" t="n">
        <v>18</v>
      </c>
      <c r="N308" s="62">
        <f>IF(M308&lt;=4,"R1 Foundation",IF(M308&lt;=8,"R2 Core Clinic",IF(M308&lt;=13,"R3 Revenue &amp; Messaging",IF(M308&lt;=18,"R4 Patient &amp; Platform",IF(M308&lt;=20,"R5 Harden","R6 Launch")))))</f>
        <v/>
      </c>
      <c r="O308" s="67">
        <f>L308*README!$B$32</f>
        <v/>
      </c>
      <c r="P308" s="62" t="inlineStr">
        <is>
          <t>NB-306, NB-271</t>
        </is>
      </c>
      <c r="Q308" s="62" t="inlineStr">
        <is>
          <t>DR drill meets the stated RTO and RPO with evidence, in both regions</t>
        </is>
      </c>
      <c r="R308" s="62" t="inlineStr">
        <is>
          <t>Not started</t>
        </is>
      </c>
      <c r="S308" s="62" t="n"/>
    </row>
    <row r="309" ht="23.85" customHeight="1" s="51">
      <c r="A309" s="68" t="inlineStr">
        <is>
          <t>NB-308</t>
        </is>
      </c>
      <c r="B309" s="68" t="inlineStr">
        <is>
          <t>E25 DevOps &amp; Infrastructure</t>
        </is>
      </c>
      <c r="C309" s="68" t="inlineStr">
        <is>
          <t>DevOps</t>
        </is>
      </c>
      <c r="D309" s="68" t="inlineStr">
        <is>
          <t>Background job platform &amp; scheduled workers</t>
        </is>
      </c>
      <c r="E309" s="68" t="inlineStr">
        <is>
          <t>Recall, expiry, retention, dunning, reminder and aggregation jobs — idempotent and observable.</t>
        </is>
      </c>
      <c r="F309" s="68" t="inlineStr">
        <is>
          <t>PAT-20,PKG-13,CMP-05</t>
        </is>
      </c>
      <c r="G309" s="68" t="inlineStr">
        <is>
          <t>All</t>
        </is>
      </c>
      <c r="H309" s="68" t="inlineStr">
        <is>
          <t>Shared</t>
        </is>
      </c>
      <c r="I309" s="68" t="inlineStr">
        <is>
          <t>DevOps</t>
        </is>
      </c>
      <c r="J309" s="69" t="inlineStr">
        <is>
          <t>Must</t>
        </is>
      </c>
      <c r="K309" s="69" t="inlineStr">
        <is>
          <t>MVP</t>
        </is>
      </c>
      <c r="L309" s="69" t="n">
        <v>8</v>
      </c>
      <c r="M309" s="69" t="n">
        <v>8</v>
      </c>
      <c r="N309" s="68">
        <f>IF(M309&lt;=4,"R1 Foundation",IF(M309&lt;=8,"R2 Core Clinic",IF(M309&lt;=13,"R3 Revenue &amp; Messaging",IF(M309&lt;=18,"R4 Patient &amp; Platform",IF(M309&lt;=20,"R5 Harden","R6 Launch")))))</f>
        <v/>
      </c>
      <c r="O309" s="70">
        <f>L309*README!$B$32</f>
        <v/>
      </c>
      <c r="P309" s="68" t="inlineStr">
        <is>
          <t>NB-300, NB-007</t>
        </is>
      </c>
      <c r="Q309" s="68" t="inlineStr">
        <is>
          <t>Every scheduled job is idempotent and re-runnable without side effects</t>
        </is>
      </c>
      <c r="R309" s="68" t="inlineStr">
        <is>
          <t>Not started</t>
        </is>
      </c>
      <c r="S309" s="68" t="n"/>
    </row>
    <row r="310" ht="23.85" customHeight="1" s="51">
      <c r="A310" s="62" t="inlineStr">
        <is>
          <t>NB-309</t>
        </is>
      </c>
      <c r="B310" s="62" t="inlineStr">
        <is>
          <t>E25 DevOps &amp; Infrastructure</t>
        </is>
      </c>
      <c r="C310" s="62" t="inlineStr">
        <is>
          <t>DevOps</t>
        </is>
      </c>
      <c r="D310" s="62" t="inlineStr">
        <is>
          <t>Cost monitoring &amp; capacity planning</t>
        </is>
      </c>
      <c r="E310" s="62" t="inlineStr">
        <is>
          <t>Per-tenant cost attribution, budget alerts and autoscaling policy.</t>
        </is>
      </c>
      <c r="F310" s="62" t="n"/>
      <c r="G310" s="62" t="inlineStr">
        <is>
          <t>Platform</t>
        </is>
      </c>
      <c r="H310" s="62" t="inlineStr">
        <is>
          <t>Shared</t>
        </is>
      </c>
      <c r="I310" s="62" t="inlineStr">
        <is>
          <t>DevOps</t>
        </is>
      </c>
      <c r="J310" s="66" t="inlineStr">
        <is>
          <t>Should</t>
        </is>
      </c>
      <c r="K310" s="66" t="inlineStr">
        <is>
          <t>MVP</t>
        </is>
      </c>
      <c r="L310" s="66" t="n">
        <v>3</v>
      </c>
      <c r="M310" s="66" t="n">
        <v>18</v>
      </c>
      <c r="N310" s="62">
        <f>IF(M310&lt;=4,"R1 Foundation",IF(M310&lt;=8,"R2 Core Clinic",IF(M310&lt;=13,"R3 Revenue &amp; Messaging",IF(M310&lt;=18,"R4 Patient &amp; Platform",IF(M310&lt;=20,"R5 Harden","R6 Launch")))))</f>
        <v/>
      </c>
      <c r="O310" s="67">
        <f>L310*README!$B$32</f>
        <v/>
      </c>
      <c r="P310" s="62" t="inlineStr">
        <is>
          <t>NB-304</t>
        </is>
      </c>
      <c r="Q310" s="62" t="inlineStr">
        <is>
          <t>Cost per tenant reported monthly with alerts at 80% of budget</t>
        </is>
      </c>
      <c r="R310" s="62" t="inlineStr">
        <is>
          <t>Not started</t>
        </is>
      </c>
      <c r="S310" s="62" t="n"/>
    </row>
    <row r="311" ht="23.85" customHeight="1" s="51">
      <c r="A311" s="68" t="inlineStr">
        <is>
          <t>NB-310</t>
        </is>
      </c>
      <c r="B311" s="68" t="inlineStr">
        <is>
          <t>E25 DevOps &amp; Infrastructure</t>
        </is>
      </c>
      <c r="C311" s="68" t="inlineStr">
        <is>
          <t>DevOps</t>
        </is>
      </c>
      <c r="D311" s="68" t="inlineStr">
        <is>
          <t>Release management &amp; change control</t>
        </is>
      </c>
      <c r="E311" s="68" t="inlineStr">
        <is>
          <t>Change advisory for clinically-affecting releases, release notes and freeze windows.</t>
        </is>
      </c>
      <c r="F311" s="68" t="n"/>
      <c r="G311" s="68" t="inlineStr">
        <is>
          <t>All</t>
        </is>
      </c>
      <c r="H311" s="68" t="inlineStr">
        <is>
          <t>Shared</t>
        </is>
      </c>
      <c r="I311" s="68" t="inlineStr">
        <is>
          <t>DevOps</t>
        </is>
      </c>
      <c r="J311" s="69" t="inlineStr">
        <is>
          <t>Must</t>
        </is>
      </c>
      <c r="K311" s="69" t="inlineStr">
        <is>
          <t>MVP</t>
        </is>
      </c>
      <c r="L311" s="69" t="n">
        <v>3</v>
      </c>
      <c r="M311" s="69" t="n">
        <v>20</v>
      </c>
      <c r="N311" s="68">
        <f>IF(M311&lt;=4,"R1 Foundation",IF(M311&lt;=8,"R2 Core Clinic",IF(M311&lt;=13,"R3 Revenue &amp; Messaging",IF(M311&lt;=18,"R4 Patient &amp; Platform",IF(M311&lt;=20,"R5 Harden","R6 Launch")))))</f>
        <v/>
      </c>
      <c r="O311" s="70">
        <f>L311*README!$B$32</f>
        <v/>
      </c>
      <c r="P311" s="68" t="inlineStr">
        <is>
          <t>NB-302</t>
        </is>
      </c>
      <c r="Q311" s="68" t="inlineStr">
        <is>
          <t>Every production change traceable to an approved ticket</t>
        </is>
      </c>
      <c r="R311" s="68" t="inlineStr">
        <is>
          <t>Not started</t>
        </is>
      </c>
      <c r="S311" s="68" t="n"/>
    </row>
    <row r="312" ht="23.85" customHeight="1" s="51">
      <c r="A312" s="62" t="inlineStr">
        <is>
          <t>NB-311</t>
        </is>
      </c>
      <c r="B312" s="62" t="inlineStr">
        <is>
          <t>E25 DevOps &amp; Infrastructure</t>
        </is>
      </c>
      <c r="C312" s="62" t="inlineStr">
        <is>
          <t>DevOps</t>
        </is>
      </c>
      <c r="D312" s="62" t="inlineStr">
        <is>
          <t>Provisioning automation hooks</t>
        </is>
      </c>
      <c r="E312" s="62" t="inlineStr">
        <is>
          <t>The infrastructure side of the provisioning job engine — schema migration, seeding and WhatsApp provisioning.</t>
        </is>
      </c>
      <c r="F312" s="62" t="inlineStr">
        <is>
          <t>SSA-01</t>
        </is>
      </c>
      <c r="G312" s="62" t="inlineStr">
        <is>
          <t>Platform</t>
        </is>
      </c>
      <c r="H312" s="62" t="inlineStr">
        <is>
          <t>Platform</t>
        </is>
      </c>
      <c r="I312" s="62" t="inlineStr">
        <is>
          <t>DevOps</t>
        </is>
      </c>
      <c r="J312" s="66" t="inlineStr">
        <is>
          <t>Must</t>
        </is>
      </c>
      <c r="K312" s="66" t="inlineStr">
        <is>
          <t>MVP</t>
        </is>
      </c>
      <c r="L312" s="66" t="n">
        <v>8</v>
      </c>
      <c r="M312" s="66" t="n">
        <v>10</v>
      </c>
      <c r="N312" s="62">
        <f>IF(M312&lt;=4,"R1 Foundation",IF(M312&lt;=8,"R2 Core Clinic",IF(M312&lt;=13,"R3 Revenue &amp; Messaging",IF(M312&lt;=18,"R4 Patient &amp; Platform",IF(M312&lt;=20,"R5 Harden","R6 Launch")))))</f>
        <v/>
      </c>
      <c r="O312" s="67">
        <f>L312*README!$B$32</f>
        <v/>
      </c>
      <c r="P312" s="62" t="inlineStr">
        <is>
          <t>NB-299, NB-308</t>
        </is>
      </c>
      <c r="Q312" s="62" t="inlineStr">
        <is>
          <t>Each provisioning step is independently retryable and idempotent</t>
        </is>
      </c>
      <c r="R312" s="62" t="inlineStr">
        <is>
          <t>Not started</t>
        </is>
      </c>
      <c r="S312" s="62" t="n"/>
    </row>
    <row r="313" ht="23.85" customHeight="1" s="51">
      <c r="A313" s="68" t="inlineStr">
        <is>
          <t>NB-312</t>
        </is>
      </c>
      <c r="B313" s="68" t="inlineStr">
        <is>
          <t>E26 Quality Assurance</t>
        </is>
      </c>
      <c r="C313" s="68" t="inlineStr">
        <is>
          <t>QA</t>
        </is>
      </c>
      <c r="D313" s="68" t="inlineStr">
        <is>
          <t>Test strategy &amp; quality gates</t>
        </is>
      </c>
      <c r="E313" s="68" t="inlineStr">
        <is>
          <t>Pyramid targets, coverage thresholds, definition of done and risk-based clinical focus.</t>
        </is>
      </c>
      <c r="F313" s="68" t="n"/>
      <c r="G313" s="68" t="inlineStr">
        <is>
          <t>All</t>
        </is>
      </c>
      <c r="H313" s="68" t="inlineStr">
        <is>
          <t>Shared</t>
        </is>
      </c>
      <c r="I313" s="68" t="inlineStr">
        <is>
          <t>QA</t>
        </is>
      </c>
      <c r="J313" s="69" t="inlineStr">
        <is>
          <t>Must</t>
        </is>
      </c>
      <c r="K313" s="69" t="inlineStr">
        <is>
          <t>MVP</t>
        </is>
      </c>
      <c r="L313" s="69" t="n">
        <v>5</v>
      </c>
      <c r="M313" s="69" t="n">
        <v>2</v>
      </c>
      <c r="N313" s="68">
        <f>IF(M313&lt;=4,"R1 Foundation",IF(M313&lt;=8,"R2 Core Clinic",IF(M313&lt;=13,"R3 Revenue &amp; Messaging",IF(M313&lt;=18,"R4 Patient &amp; Platform",IF(M313&lt;=20,"R5 Harden","R6 Launch")))))</f>
        <v/>
      </c>
      <c r="O313" s="70">
        <f>L313*README!$B$32</f>
        <v/>
      </c>
      <c r="P313" s="68" t="inlineStr">
        <is>
          <t>NB-001</t>
        </is>
      </c>
      <c r="Q313" s="68" t="inlineStr">
        <is>
          <t>Strategy signed off; gates enforced in CI</t>
        </is>
      </c>
      <c r="R313" s="68" t="inlineStr">
        <is>
          <t>Not started</t>
        </is>
      </c>
      <c r="S313" s="68" t="n"/>
    </row>
    <row r="314" ht="23.85" customHeight="1" s="51">
      <c r="A314" s="62" t="inlineStr">
        <is>
          <t>NB-313</t>
        </is>
      </c>
      <c r="B314" s="62" t="inlineStr">
        <is>
          <t>E26 Quality Assurance</t>
        </is>
      </c>
      <c r="C314" s="62" t="inlineStr">
        <is>
          <t>QA</t>
        </is>
      </c>
      <c r="D314" s="62" t="inlineStr">
        <is>
          <t>Unit &amp; integration test framework</t>
        </is>
      </c>
      <c r="E314" s="62" t="inlineStr">
        <is>
          <t>Shared fixtures, tenant-aware factories and per-test database isolation.</t>
        </is>
      </c>
      <c r="F314" s="62" t="n"/>
      <c r="G314" s="62" t="inlineStr">
        <is>
          <t>All</t>
        </is>
      </c>
      <c r="H314" s="62" t="inlineStr">
        <is>
          <t>Shared</t>
        </is>
      </c>
      <c r="I314" s="62" t="inlineStr">
        <is>
          <t>QA</t>
        </is>
      </c>
      <c r="J314" s="66" t="inlineStr">
        <is>
          <t>Must</t>
        </is>
      </c>
      <c r="K314" s="66" t="inlineStr">
        <is>
          <t>MVP</t>
        </is>
      </c>
      <c r="L314" s="66" t="n">
        <v>5</v>
      </c>
      <c r="M314" s="66" t="n">
        <v>4</v>
      </c>
      <c r="N314" s="62">
        <f>IF(M314&lt;=4,"R1 Foundation",IF(M314&lt;=8,"R2 Core Clinic",IF(M314&lt;=13,"R3 Revenue &amp; Messaging",IF(M314&lt;=18,"R4 Patient &amp; Platform",IF(M314&lt;=20,"R5 Harden","R6 Launch")))))</f>
        <v/>
      </c>
      <c r="O314" s="67">
        <f>L314*README!$B$32</f>
        <v/>
      </c>
      <c r="P314" s="62" t="inlineStr">
        <is>
          <t>NB-312, NB-298</t>
        </is>
      </c>
      <c r="Q314" s="62" t="inlineStr">
        <is>
          <t>70% line coverage on domain logic; suite under eight minutes</t>
        </is>
      </c>
      <c r="R314" s="62" t="inlineStr">
        <is>
          <t>Done</t>
        </is>
      </c>
      <c r="S314" s="62" t="n"/>
    </row>
    <row r="315" ht="15" customHeight="1" s="51">
      <c r="A315" s="68" t="inlineStr">
        <is>
          <t>NB-314</t>
        </is>
      </c>
      <c r="B315" s="68" t="inlineStr">
        <is>
          <t>E26 Quality Assurance</t>
        </is>
      </c>
      <c r="C315" s="68" t="inlineStr">
        <is>
          <t>QA</t>
        </is>
      </c>
      <c r="D315" s="68" t="inlineStr">
        <is>
          <t>API contract testing</t>
        </is>
      </c>
      <c r="E315" s="68" t="inlineStr">
        <is>
          <t>Consumer-driven contracts between the BFF, services and clients.</t>
        </is>
      </c>
      <c r="F315" s="68" t="n"/>
      <c r="G315" s="68" t="inlineStr">
        <is>
          <t>All</t>
        </is>
      </c>
      <c r="H315" s="68" t="inlineStr">
        <is>
          <t>Shared</t>
        </is>
      </c>
      <c r="I315" s="68" t="inlineStr">
        <is>
          <t>QA</t>
        </is>
      </c>
      <c r="J315" s="69" t="inlineStr">
        <is>
          <t>Must</t>
        </is>
      </c>
      <c r="K315" s="69" t="inlineStr">
        <is>
          <t>MVP</t>
        </is>
      </c>
      <c r="L315" s="69" t="n">
        <v>5</v>
      </c>
      <c r="M315" s="69" t="n">
        <v>7</v>
      </c>
      <c r="N315" s="68">
        <f>IF(M315&lt;=4,"R1 Foundation",IF(M315&lt;=8,"R2 Core Clinic",IF(M315&lt;=13,"R3 Revenue &amp; Messaging",IF(M315&lt;=18,"R4 Patient &amp; Platform",IF(M315&lt;=20,"R5 Harden","R6 Launch")))))</f>
        <v/>
      </c>
      <c r="O315" s="70">
        <f>L315*README!$B$32</f>
        <v/>
      </c>
      <c r="P315" s="68" t="inlineStr">
        <is>
          <t>NB-005, NB-313</t>
        </is>
      </c>
      <c r="Q315" s="68" t="inlineStr">
        <is>
          <t>A breaking API change fails CI before staging</t>
        </is>
      </c>
      <c r="R315" s="68" t="inlineStr">
        <is>
          <t>Not started</t>
        </is>
      </c>
      <c r="S315" s="68" t="n"/>
    </row>
    <row r="316" ht="23.85" customHeight="1" s="51">
      <c r="A316" s="62" t="inlineStr">
        <is>
          <t>NB-315</t>
        </is>
      </c>
      <c r="B316" s="62" t="inlineStr">
        <is>
          <t>E26 Quality Assurance</t>
        </is>
      </c>
      <c r="C316" s="62" t="inlineStr">
        <is>
          <t>QA</t>
        </is>
      </c>
      <c r="D316" s="62" t="inlineStr">
        <is>
          <t>End-to-end automation — clinical &amp; billing journeys</t>
        </is>
      </c>
      <c r="E316" s="62" t="inlineStr">
        <is>
          <t>Register, queue, vitals, consult, prescribe, checkout, invoice — per role.</t>
        </is>
      </c>
      <c r="F316" s="62" t="n"/>
      <c r="G316" s="62" t="inlineStr">
        <is>
          <t>All</t>
        </is>
      </c>
      <c r="H316" s="62" t="inlineStr">
        <is>
          <t>Shared</t>
        </is>
      </c>
      <c r="I316" s="62" t="inlineStr">
        <is>
          <t>QA</t>
        </is>
      </c>
      <c r="J316" s="66" t="inlineStr">
        <is>
          <t>Must</t>
        </is>
      </c>
      <c r="K316" s="66" t="inlineStr">
        <is>
          <t>MVP</t>
        </is>
      </c>
      <c r="L316" s="66" t="n">
        <v>8</v>
      </c>
      <c r="M316" s="66" t="n">
        <v>13</v>
      </c>
      <c r="N316" s="62">
        <f>IF(M316&lt;=4,"R1 Foundation",IF(M316&lt;=8,"R2 Core Clinic",IF(M316&lt;=13,"R3 Revenue &amp; Messaging",IF(M316&lt;=18,"R4 Patient &amp; Platform",IF(M316&lt;=20,"R5 Harden","R6 Launch")))))</f>
        <v/>
      </c>
      <c r="O316" s="67">
        <f>L316*README!$B$32</f>
        <v/>
      </c>
      <c r="P316" s="62" t="inlineStr">
        <is>
          <t>NB-301, NB-162, NB-102</t>
        </is>
      </c>
      <c r="Q316" s="62" t="inlineStr">
        <is>
          <t>E2E suite green nightly on staging in all three interface languages</t>
        </is>
      </c>
      <c r="R316" s="62" t="inlineStr">
        <is>
          <t>Not started</t>
        </is>
      </c>
      <c r="S316" s="62" t="n"/>
    </row>
    <row r="317" ht="23.85" customHeight="1" s="51">
      <c r="A317" s="68" t="inlineStr">
        <is>
          <t>NB-316</t>
        </is>
      </c>
      <c r="B317" s="68" t="inlineStr">
        <is>
          <t>E26 Quality Assurance</t>
        </is>
      </c>
      <c r="C317" s="68" t="inlineStr">
        <is>
          <t>QA</t>
        </is>
      </c>
      <c r="D317" s="68" t="inlineStr">
        <is>
          <t>Patient WhatsApp conversation test harness</t>
        </is>
      </c>
      <c r="E317" s="68" t="inlineStr">
        <is>
          <t>Automated conversation-flow testing against a provider sandbox, covering tap budgets and session-window expiry.</t>
        </is>
      </c>
      <c r="F317" s="68" t="inlineStr">
        <is>
          <t>PAT-03,NFR-02</t>
        </is>
      </c>
      <c r="G317" s="68" t="inlineStr">
        <is>
          <t>Patient</t>
        </is>
      </c>
      <c r="H317" s="68" t="inlineStr">
        <is>
          <t>Patient</t>
        </is>
      </c>
      <c r="I317" s="68" t="inlineStr">
        <is>
          <t>QA</t>
        </is>
      </c>
      <c r="J317" s="69" t="inlineStr">
        <is>
          <t>Must</t>
        </is>
      </c>
      <c r="K317" s="69" t="inlineStr">
        <is>
          <t>MVP</t>
        </is>
      </c>
      <c r="L317" s="69" t="n">
        <v>8</v>
      </c>
      <c r="M317" s="69" t="n">
        <v>17</v>
      </c>
      <c r="N317" s="68">
        <f>IF(M317&lt;=4,"R1 Foundation",IF(M317&lt;=8,"R2 Core Clinic",IF(M317&lt;=13,"R3 Revenue &amp; Messaging",IF(M317&lt;=18,"R4 Patient &amp; Platform",IF(M317&lt;=20,"R5 Harden","R6 Launch")))))</f>
        <v/>
      </c>
      <c r="O317" s="70">
        <f>L317*README!$B$32</f>
        <v/>
      </c>
      <c r="P317" s="68" t="inlineStr">
        <is>
          <t>NB-202, NB-301</t>
        </is>
      </c>
      <c r="Q317" s="68" t="inlineStr">
        <is>
          <t>Tap budgets asserted automatically; session-window expiry behaviour verified without a live provider</t>
        </is>
      </c>
      <c r="R317" s="68" t="inlineStr">
        <is>
          <t>Not started</t>
        </is>
      </c>
      <c r="S317" s="68" t="n"/>
    </row>
    <row r="318" ht="23.85" customHeight="1" s="51">
      <c r="A318" s="62" t="inlineStr">
        <is>
          <t>NB-317</t>
        </is>
      </c>
      <c r="B318" s="62" t="inlineStr">
        <is>
          <t>E26 Quality Assurance</t>
        </is>
      </c>
      <c r="C318" s="62" t="inlineStr">
        <is>
          <t>QA</t>
        </is>
      </c>
      <c r="D318" s="62" t="inlineStr">
        <is>
          <t>RBAC negative-test suite</t>
        </is>
      </c>
      <c r="E318" s="62" t="inlineStr">
        <is>
          <t>Automated assertion that every role is denied every permission it does not hold, for both clinic and SaaS operator roles.</t>
        </is>
      </c>
      <c r="F318" s="62" t="inlineStr">
        <is>
          <t>SSA-02</t>
        </is>
      </c>
      <c r="G318" s="62" t="inlineStr">
        <is>
          <t>All</t>
        </is>
      </c>
      <c r="H318" s="62" t="inlineStr">
        <is>
          <t>Shared</t>
        </is>
      </c>
      <c r="I318" s="62" t="inlineStr">
        <is>
          <t>QA</t>
        </is>
      </c>
      <c r="J318" s="66" t="inlineStr">
        <is>
          <t>Must</t>
        </is>
      </c>
      <c r="K318" s="66" t="inlineStr">
        <is>
          <t>MVP</t>
        </is>
      </c>
      <c r="L318" s="66" t="n">
        <v>8</v>
      </c>
      <c r="M318" s="66" t="n">
        <v>12</v>
      </c>
      <c r="N318" s="62">
        <f>IF(M318&lt;=4,"R1 Foundation",IF(M318&lt;=8,"R2 Core Clinic",IF(M318&lt;=13,"R3 Revenue &amp; Messaging",IF(M318&lt;=18,"R4 Patient &amp; Platform",IF(M318&lt;=20,"R5 Harden","R6 Launch")))))</f>
        <v/>
      </c>
      <c r="O318" s="67">
        <f>L318*README!$B$32</f>
        <v/>
      </c>
      <c r="P318" s="62" t="inlineStr">
        <is>
          <t>NB-050, NB-257, NB-313</t>
        </is>
      </c>
      <c r="Q318" s="62" t="inlineStr">
        <is>
          <t>Full role x endpoint matrix executed each build for all twelve roles</t>
        </is>
      </c>
      <c r="R318" s="62" t="inlineStr">
        <is>
          <t>Not started</t>
        </is>
      </c>
      <c r="S318" s="62" t="n"/>
    </row>
    <row r="319" ht="23.85" customHeight="1" s="51">
      <c r="A319" s="68" t="inlineStr">
        <is>
          <t>NB-318</t>
        </is>
      </c>
      <c r="B319" s="68" t="inlineStr">
        <is>
          <t>E26 Quality Assurance</t>
        </is>
      </c>
      <c r="C319" s="68" t="inlineStr">
        <is>
          <t>QA</t>
        </is>
      </c>
      <c r="D319" s="68" t="inlineStr">
        <is>
          <t>Cross-browser &amp; device matrix testing</t>
        </is>
      </c>
      <c r="E319" s="68" t="inlineStr">
        <is>
          <t>Chrome, Safari and Edge; Android tablets and low-end phones common in clinics.</t>
        </is>
      </c>
      <c r="F319" s="68" t="n"/>
      <c r="G319" s="68" t="inlineStr">
        <is>
          <t>All</t>
        </is>
      </c>
      <c r="H319" s="68" t="inlineStr">
        <is>
          <t>Shared</t>
        </is>
      </c>
      <c r="I319" s="68" t="inlineStr">
        <is>
          <t>QA</t>
        </is>
      </c>
      <c r="J319" s="69" t="inlineStr">
        <is>
          <t>Must</t>
        </is>
      </c>
      <c r="K319" s="69" t="inlineStr">
        <is>
          <t>MVP</t>
        </is>
      </c>
      <c r="L319" s="69" t="n">
        <v>5</v>
      </c>
      <c r="M319" s="69" t="n">
        <v>18</v>
      </c>
      <c r="N319" s="68">
        <f>IF(M319&lt;=4,"R1 Foundation",IF(M319&lt;=8,"R2 Core Clinic",IF(M319&lt;=13,"R3 Revenue &amp; Messaging",IF(M319&lt;=18,"R4 Patient &amp; Platform",IF(M319&lt;=20,"R5 Harden","R6 Launch")))))</f>
        <v/>
      </c>
      <c r="O319" s="70">
        <f>L319*README!$B$32</f>
        <v/>
      </c>
      <c r="P319" s="68" t="inlineStr">
        <is>
          <t>NB-315</t>
        </is>
      </c>
      <c r="Q319" s="68" t="inlineStr">
        <is>
          <t>Matrix documented; no P1 defect on supported devices</t>
        </is>
      </c>
      <c r="R319" s="68" t="inlineStr">
        <is>
          <t>Not started</t>
        </is>
      </c>
      <c r="S319" s="68" t="n"/>
    </row>
    <row r="320" ht="23.85" customHeight="1" s="51">
      <c r="A320" s="62" t="inlineStr">
        <is>
          <t>NB-319</t>
        </is>
      </c>
      <c r="B320" s="62" t="inlineStr">
        <is>
          <t>E26 Quality Assurance</t>
        </is>
      </c>
      <c r="C320" s="62" t="inlineStr">
        <is>
          <t>QA</t>
        </is>
      </c>
      <c r="D320" s="62" t="inlineStr">
        <is>
          <t>RTL &amp; localisation test suite</t>
        </is>
      </c>
      <c r="E320" s="62" t="inlineStr">
        <is>
          <t>Visual regression in Arabic and Hindi including Hijri dates, currency, anatomy non-mirroring and chart time axes.</t>
        </is>
      </c>
      <c r="F320" s="62" t="inlineStr">
        <is>
          <t>DENT-01,DERM-04</t>
        </is>
      </c>
      <c r="G320" s="62" t="inlineStr">
        <is>
          <t>All</t>
        </is>
      </c>
      <c r="H320" s="62" t="inlineStr">
        <is>
          <t>Shared</t>
        </is>
      </c>
      <c r="I320" s="62" t="inlineStr">
        <is>
          <t>QA</t>
        </is>
      </c>
      <c r="J320" s="66" t="inlineStr">
        <is>
          <t>Must</t>
        </is>
      </c>
      <c r="K320" s="66" t="inlineStr">
        <is>
          <t>MVP</t>
        </is>
      </c>
      <c r="L320" s="66" t="n">
        <v>8</v>
      </c>
      <c r="M320" s="66" t="n">
        <v>16</v>
      </c>
      <c r="N320" s="62">
        <f>IF(M320&lt;=4,"R1 Foundation",IF(M320&lt;=8,"R2 Core Clinic",IF(M320&lt;=13,"R3 Revenue &amp; Messaging",IF(M320&lt;=18,"R4 Patient &amp; Platform",IF(M320&lt;=20,"R5 Harden","R6 Launch")))))</f>
        <v/>
      </c>
      <c r="O320" s="67">
        <f>L320*README!$B$32</f>
        <v/>
      </c>
      <c r="P320" s="62" t="inlineStr">
        <is>
          <t>NB-031, NB-315</t>
        </is>
      </c>
      <c r="Q320" s="62" t="inlineStr">
        <is>
          <t>Screenshot diffs reviewed per release; anatomy and time axes verified unmirrored</t>
        </is>
      </c>
      <c r="R320" s="62" t="inlineStr">
        <is>
          <t>Not started</t>
        </is>
      </c>
      <c r="S320" s="62" t="n"/>
    </row>
    <row r="321" ht="23.85" customHeight="1" s="51">
      <c r="A321" s="68" t="inlineStr">
        <is>
          <t>NB-320</t>
        </is>
      </c>
      <c r="B321" s="68" t="inlineStr">
        <is>
          <t>E26 Quality Assurance</t>
        </is>
      </c>
      <c r="C321" s="68" t="inlineStr">
        <is>
          <t>QA</t>
        </is>
      </c>
      <c r="D321" s="68" t="inlineStr">
        <is>
          <t>Accessibility audit — WCAG 2.2 AA</t>
        </is>
      </c>
      <c r="E321" s="68" t="inlineStr">
        <is>
          <t>Automated scans plus manual keyboard and screen-reader passes, including chart table views.</t>
        </is>
      </c>
      <c r="F321" s="68" t="n"/>
      <c r="G321" s="68" t="inlineStr">
        <is>
          <t>All</t>
        </is>
      </c>
      <c r="H321" s="68" t="inlineStr">
        <is>
          <t>Shared</t>
        </is>
      </c>
      <c r="I321" s="68" t="inlineStr">
        <is>
          <t>QA</t>
        </is>
      </c>
      <c r="J321" s="69" t="inlineStr">
        <is>
          <t>Must</t>
        </is>
      </c>
      <c r="K321" s="69" t="inlineStr">
        <is>
          <t>MVP</t>
        </is>
      </c>
      <c r="L321" s="69" t="n">
        <v>8</v>
      </c>
      <c r="M321" s="69" t="n">
        <v>18</v>
      </c>
      <c r="N321" s="68">
        <f>IF(M321&lt;=4,"R1 Foundation",IF(M321&lt;=8,"R2 Core Clinic",IF(M321&lt;=13,"R3 Revenue &amp; Messaging",IF(M321&lt;=18,"R4 Patient &amp; Platform",IF(M321&lt;=20,"R5 Harden","R6 Launch")))))</f>
        <v/>
      </c>
      <c r="O321" s="70">
        <f>L321*README!$B$32</f>
        <v/>
      </c>
      <c r="P321" s="68" t="inlineStr">
        <is>
          <t>NB-013, NB-027, NB-315</t>
        </is>
      </c>
      <c r="Q321" s="68" t="inlineStr">
        <is>
          <t>Zero critical violations; keyboard-only journey completes; charts readable via table view</t>
        </is>
      </c>
      <c r="R321" s="68" t="inlineStr">
        <is>
          <t>Not started</t>
        </is>
      </c>
      <c r="S321" s="68" t="n"/>
    </row>
    <row r="322" ht="23.85" customHeight="1" s="51">
      <c r="A322" s="62" t="inlineStr">
        <is>
          <t>NB-321</t>
        </is>
      </c>
      <c r="B322" s="62" t="inlineStr">
        <is>
          <t>E26 Quality Assurance</t>
        </is>
      </c>
      <c r="C322" s="62" t="inlineStr">
        <is>
          <t>QA</t>
        </is>
      </c>
      <c r="D322" s="62" t="inlineStr">
        <is>
          <t>Clinical safety test cases &amp; hazard log</t>
        </is>
      </c>
      <c r="E322" s="62" t="inlineStr">
        <is>
          <t>Allergy, dose, wrong-patient, wrong-family-member and lost-note hazards with evidenced mitigations.</t>
        </is>
      </c>
      <c r="F322" s="62" t="inlineStr">
        <is>
          <t>DERM-05,PED-05,GYN-03,CGV-04</t>
        </is>
      </c>
      <c r="G322" s="62" t="inlineStr">
        <is>
          <t>Doctor,Nurse</t>
        </is>
      </c>
      <c r="H322" s="62" t="inlineStr">
        <is>
          <t>Shared</t>
        </is>
      </c>
      <c r="I322" s="62" t="inlineStr">
        <is>
          <t>QA</t>
        </is>
      </c>
      <c r="J322" s="66" t="inlineStr">
        <is>
          <t>Must</t>
        </is>
      </c>
      <c r="K322" s="66" t="inlineStr">
        <is>
          <t>MVP</t>
        </is>
      </c>
      <c r="L322" s="66" t="n">
        <v>8</v>
      </c>
      <c r="M322" s="66" t="n">
        <v>19</v>
      </c>
      <c r="N322" s="62">
        <f>IF(M322&lt;=4,"R1 Foundation",IF(M322&lt;=8,"R2 Core Clinic",IF(M322&lt;=13,"R3 Revenue &amp; Messaging",IF(M322&lt;=18,"R4 Patient &amp; Platform",IF(M322&lt;=20,"R5 Harden","R6 Launch")))))</f>
        <v/>
      </c>
      <c r="O322" s="67">
        <f>L322*README!$B$32</f>
        <v/>
      </c>
      <c r="P322" s="62" t="inlineStr">
        <is>
          <t>NB-108, NB-112, NB-145</t>
        </is>
      </c>
      <c r="Q322" s="62" t="inlineStr">
        <is>
          <t>Hazard log reviewed and signed by the clinical safety officer</t>
        </is>
      </c>
      <c r="R322" s="62" t="inlineStr">
        <is>
          <t>Not started</t>
        </is>
      </c>
      <c r="S322" s="62" t="n"/>
    </row>
    <row r="323" ht="23.85" customHeight="1" s="51">
      <c r="A323" s="68" t="inlineStr">
        <is>
          <t>NB-322</t>
        </is>
      </c>
      <c r="B323" s="68" t="inlineStr">
        <is>
          <t>E26 Quality Assurance</t>
        </is>
      </c>
      <c r="C323" s="68" t="inlineStr">
        <is>
          <t>QA</t>
        </is>
      </c>
      <c r="D323" s="68" t="inlineStr">
        <is>
          <t>Tax &amp; invoice correctness test pack</t>
        </is>
      </c>
      <c r="E323" s="68" t="inlineStr">
        <is>
          <t>Independent verification of GST and ZATCA output against worked examples in both regions.</t>
        </is>
      </c>
      <c r="F323" s="68" t="inlineStr">
        <is>
          <t>SYS-09</t>
        </is>
      </c>
      <c r="G323" s="68" t="inlineStr">
        <is>
          <t>Owner</t>
        </is>
      </c>
      <c r="H323" s="68" t="inlineStr">
        <is>
          <t>Clinic</t>
        </is>
      </c>
      <c r="I323" s="68" t="inlineStr">
        <is>
          <t>QA</t>
        </is>
      </c>
      <c r="J323" s="69" t="inlineStr">
        <is>
          <t>Must</t>
        </is>
      </c>
      <c r="K323" s="69" t="inlineStr">
        <is>
          <t>MVP</t>
        </is>
      </c>
      <c r="L323" s="69" t="n">
        <v>8</v>
      </c>
      <c r="M323" s="69" t="n">
        <v>17</v>
      </c>
      <c r="N323" s="68">
        <f>IF(M323&lt;=4,"R1 Foundation",IF(M323&lt;=8,"R2 Core Clinic",IF(M323&lt;=13,"R3 Revenue &amp; Messaging",IF(M323&lt;=18,"R4 Patient &amp; Platform",IF(M323&lt;=20,"R5 Harden","R6 Launch")))))</f>
        <v/>
      </c>
      <c r="O323" s="70">
        <f>L323*README!$B$32</f>
        <v/>
      </c>
      <c r="P323" s="68" t="inlineStr">
        <is>
          <t>NB-163, NB-164</t>
        </is>
      </c>
      <c r="Q323" s="68" t="inlineStr">
        <is>
          <t>Every worked example reproduces to the paisa/halala; reviewed by a tax specialist</t>
        </is>
      </c>
      <c r="R323" s="68" t="inlineStr">
        <is>
          <t>Not started</t>
        </is>
      </c>
      <c r="S323" s="68" t="n"/>
    </row>
    <row r="324" ht="15" customHeight="1" s="51">
      <c r="A324" s="62" t="inlineStr">
        <is>
          <t>NB-323</t>
        </is>
      </c>
      <c r="B324" s="62" t="inlineStr">
        <is>
          <t>E26 Quality Assurance</t>
        </is>
      </c>
      <c r="C324" s="62" t="inlineStr">
        <is>
          <t>QA</t>
        </is>
      </c>
      <c r="D324" s="62" t="inlineStr">
        <is>
          <t>UAT with pilot clinics in India &amp; KSA</t>
        </is>
      </c>
      <c r="E324" s="62" t="inlineStr">
        <is>
          <t>Structured scripts per role, defect triage and sign-off.</t>
        </is>
      </c>
      <c r="F324" s="62" t="n"/>
      <c r="G324" s="62" t="inlineStr">
        <is>
          <t>All</t>
        </is>
      </c>
      <c r="H324" s="62" t="inlineStr">
        <is>
          <t>Shared</t>
        </is>
      </c>
      <c r="I324" s="62" t="inlineStr">
        <is>
          <t>QA</t>
        </is>
      </c>
      <c r="J324" s="66" t="inlineStr">
        <is>
          <t>Must</t>
        </is>
      </c>
      <c r="K324" s="66" t="inlineStr">
        <is>
          <t>MVP</t>
        </is>
      </c>
      <c r="L324" s="66" t="n">
        <v>8</v>
      </c>
      <c r="M324" s="66" t="n">
        <v>22</v>
      </c>
      <c r="N324" s="62">
        <f>IF(M324&lt;=4,"R1 Foundation",IF(M324&lt;=8,"R2 Core Clinic",IF(M324&lt;=13,"R3 Revenue &amp; Messaging",IF(M324&lt;=18,"R4 Patient &amp; Platform",IF(M324&lt;=20,"R5 Harden","R6 Launch")))))</f>
        <v/>
      </c>
      <c r="O324" s="67">
        <f>L324*README!$B$32</f>
        <v/>
      </c>
      <c r="P324" s="62" t="inlineStr">
        <is>
          <t>NB-315, NB-346</t>
        </is>
      </c>
      <c r="Q324" s="62" t="inlineStr">
        <is>
          <t>Both pilot clinics sign off with no open P1 or P2</t>
        </is>
      </c>
      <c r="R324" s="62" t="inlineStr">
        <is>
          <t>Not started</t>
        </is>
      </c>
      <c r="S324" s="62" t="n"/>
    </row>
    <row r="325" ht="35.05" customHeight="1" s="51">
      <c r="A325" s="68" t="inlineStr">
        <is>
          <t>NB-324</t>
        </is>
      </c>
      <c r="B325" s="68" t="inlineStr">
        <is>
          <t>E27 Performance, Reliability &amp; Offline</t>
        </is>
      </c>
      <c r="C325" s="68" t="inlineStr">
        <is>
          <t>Performance</t>
        </is>
      </c>
      <c r="D325" s="68" t="inlineStr">
        <is>
          <t>Performance budgets &amp; frontend optimisation</t>
        </is>
      </c>
      <c r="E325" s="68" t="inlineStr">
        <is>
          <t>The owner dashboard opens in under two seconds on mobile; the queue screen is interactive in under two seconds on a mid-range Android over 4G.</t>
        </is>
      </c>
      <c r="F325" s="68" t="inlineStr">
        <is>
          <t>OWN-01,NFR-02</t>
        </is>
      </c>
      <c r="G325" s="68" t="inlineStr">
        <is>
          <t>All</t>
        </is>
      </c>
      <c r="H325" s="68" t="inlineStr">
        <is>
          <t>Shared</t>
        </is>
      </c>
      <c r="I325" s="68" t="inlineStr">
        <is>
          <t>Frontend</t>
        </is>
      </c>
      <c r="J325" s="69" t="inlineStr">
        <is>
          <t>Must</t>
        </is>
      </c>
      <c r="K325" s="69" t="inlineStr">
        <is>
          <t>MVP</t>
        </is>
      </c>
      <c r="L325" s="69" t="n">
        <v>8</v>
      </c>
      <c r="M325" s="69" t="n">
        <v>17</v>
      </c>
      <c r="N325" s="68">
        <f>IF(M325&lt;=4,"R1 Foundation",IF(M325&lt;=8,"R2 Core Clinic",IF(M325&lt;=13,"R3 Revenue &amp; Messaging",IF(M325&lt;=18,"R4 Patient &amp; Platform",IF(M325&lt;=20,"R5 Harden","R6 Launch")))))</f>
        <v/>
      </c>
      <c r="O325" s="70">
        <f>L325*README!$B$32</f>
        <v/>
      </c>
      <c r="P325" s="68" t="inlineStr">
        <is>
          <t>NB-017, NB-304</t>
        </is>
      </c>
      <c r="Q325" s="68" t="inlineStr">
        <is>
          <t>Lighthouse and real-user monitoring meet budget on the pilot device</t>
        </is>
      </c>
      <c r="R325" s="68" t="inlineStr">
        <is>
          <t>Not started</t>
        </is>
      </c>
      <c r="S325" s="68" t="n"/>
    </row>
    <row r="326" ht="15" customHeight="1" s="51">
      <c r="A326" s="62" t="inlineStr">
        <is>
          <t>NB-325</t>
        </is>
      </c>
      <c r="B326" s="62" t="inlineStr">
        <is>
          <t>E27 Performance, Reliability &amp; Offline</t>
        </is>
      </c>
      <c r="C326" s="62" t="inlineStr">
        <is>
          <t>Performance</t>
        </is>
      </c>
      <c r="D326" s="62" t="inlineStr">
        <is>
          <t>Database indexing &amp; query optimisation</t>
        </is>
      </c>
      <c r="E326" s="62" t="inlineStr">
        <is>
          <t>Tenant-scoped indexes, N+1 elimination and slow-query alerting.</t>
        </is>
      </c>
      <c r="F326" s="62" t="n"/>
      <c r="G326" s="62" t="inlineStr">
        <is>
          <t>All</t>
        </is>
      </c>
      <c r="H326" s="62" t="inlineStr">
        <is>
          <t>Shared</t>
        </is>
      </c>
      <c r="I326" s="62" t="inlineStr">
        <is>
          <t>Backend</t>
        </is>
      </c>
      <c r="J326" s="66" t="inlineStr">
        <is>
          <t>Must</t>
        </is>
      </c>
      <c r="K326" s="66" t="inlineStr">
        <is>
          <t>MVP</t>
        </is>
      </c>
      <c r="L326" s="66" t="n">
        <v>5</v>
      </c>
      <c r="M326" s="66" t="n">
        <v>17</v>
      </c>
      <c r="N326" s="62">
        <f>IF(M326&lt;=4,"R1 Foundation",IF(M326&lt;=8,"R2 Core Clinic",IF(M326&lt;=13,"R3 Revenue &amp; Messaging",IF(M326&lt;=18,"R4 Patient &amp; Platform",IF(M326&lt;=20,"R5 Harden","R6 Launch")))))</f>
        <v/>
      </c>
      <c r="O326" s="67">
        <f>L326*README!$B$32</f>
        <v/>
      </c>
      <c r="P326" s="62" t="inlineStr">
        <is>
          <t>NB-003, NB-304</t>
        </is>
      </c>
      <c r="Q326" s="62" t="inlineStr">
        <is>
          <t>No query over 200ms at p95 under load</t>
        </is>
      </c>
      <c r="R326" s="62" t="inlineStr">
        <is>
          <t>Not started</t>
        </is>
      </c>
      <c r="S326" s="62" t="n"/>
    </row>
    <row r="327" ht="23.85" customHeight="1" s="51">
      <c r="A327" s="68" t="inlineStr">
        <is>
          <t>NB-326</t>
        </is>
      </c>
      <c r="B327" s="68" t="inlineStr">
        <is>
          <t>E27 Performance, Reliability &amp; Offline</t>
        </is>
      </c>
      <c r="C327" s="68" t="inlineStr">
        <is>
          <t>Performance</t>
        </is>
      </c>
      <c r="D327" s="68" t="inlineStr">
        <is>
          <t>Caching strategy</t>
        </is>
      </c>
      <c r="E327" s="68" t="inlineStr">
        <is>
          <t>Reference data, entitlements and catalogue cached with correct invalidation.</t>
        </is>
      </c>
      <c r="F327" s="68" t="inlineStr">
        <is>
          <t>SYS-20</t>
        </is>
      </c>
      <c r="G327" s="68" t="inlineStr">
        <is>
          <t>All</t>
        </is>
      </c>
      <c r="H327" s="68" t="inlineStr">
        <is>
          <t>Shared</t>
        </is>
      </c>
      <c r="I327" s="68" t="inlineStr">
        <is>
          <t>Backend</t>
        </is>
      </c>
      <c r="J327" s="69" t="inlineStr">
        <is>
          <t>Should</t>
        </is>
      </c>
      <c r="K327" s="69" t="inlineStr">
        <is>
          <t>MVP</t>
        </is>
      </c>
      <c r="L327" s="69" t="n">
        <v>5</v>
      </c>
      <c r="M327" s="69" t="n">
        <v>18</v>
      </c>
      <c r="N327" s="68">
        <f>IF(M327&lt;=4,"R1 Foundation",IF(M327&lt;=8,"R2 Core Clinic",IF(M327&lt;=13,"R3 Revenue &amp; Messaging",IF(M327&lt;=18,"R4 Patient &amp; Platform",IF(M327&lt;=20,"R5 Harden","R6 Launch")))))</f>
        <v/>
      </c>
      <c r="O327" s="70">
        <f>L327*README!$B$32</f>
        <v/>
      </c>
      <c r="P327" s="68" t="inlineStr">
        <is>
          <t>NB-010, NB-008</t>
        </is>
      </c>
      <c r="Q327" s="68" t="inlineStr">
        <is>
          <t>Stale-entitlement window under 60s; cache hit rate above 80%</t>
        </is>
      </c>
      <c r="R327" s="68" t="inlineStr">
        <is>
          <t>Not started</t>
        </is>
      </c>
      <c r="S327" s="68" t="n"/>
    </row>
    <row r="328" ht="23.85" customHeight="1" s="51">
      <c r="A328" s="62" t="inlineStr">
        <is>
          <t>NB-327</t>
        </is>
      </c>
      <c r="B328" s="62" t="inlineStr">
        <is>
          <t>E27 Performance, Reliability &amp; Offline</t>
        </is>
      </c>
      <c r="C328" s="62" t="inlineStr">
        <is>
          <t>Performance</t>
        </is>
      </c>
      <c r="D328" s="62" t="inlineStr">
        <is>
          <t>Load &amp; stress testing</t>
        </is>
      </c>
      <c r="E328" s="62" t="inlineStr">
        <is>
          <t>Peak morning-rush profile across clinics plus unbounded patient-side messaging concurrency.</t>
        </is>
      </c>
      <c r="F328" s="62" t="inlineStr">
        <is>
          <t>NFR-02,NFR-12</t>
        </is>
      </c>
      <c r="G328" s="62" t="inlineStr">
        <is>
          <t>All</t>
        </is>
      </c>
      <c r="H328" s="62" t="inlineStr">
        <is>
          <t>Shared</t>
        </is>
      </c>
      <c r="I328" s="62" t="inlineStr">
        <is>
          <t>QA</t>
        </is>
      </c>
      <c r="J328" s="66" t="inlineStr">
        <is>
          <t>Must</t>
        </is>
      </c>
      <c r="K328" s="66" t="inlineStr">
        <is>
          <t>MVP</t>
        </is>
      </c>
      <c r="L328" s="66" t="n">
        <v>8</v>
      </c>
      <c r="M328" s="66" t="n">
        <v>19</v>
      </c>
      <c r="N328" s="62">
        <f>IF(M328&lt;=4,"R1 Foundation",IF(M328&lt;=8,"R2 Core Clinic",IF(M328&lt;=13,"R3 Revenue &amp; Messaging",IF(M328&lt;=18,"R4 Patient &amp; Platform",IF(M328&lt;=20,"R5 Harden","R6 Launch")))))</f>
        <v/>
      </c>
      <c r="O328" s="67">
        <f>L328*README!$B$32</f>
        <v/>
      </c>
      <c r="P328" s="62" t="inlineStr">
        <is>
          <t>NB-301, NB-304</t>
        </is>
      </c>
      <c r="Q328" s="62" t="inlineStr">
        <is>
          <t>System meets SLOs at twice expected peak on both the clinic and patient sides</t>
        </is>
      </c>
      <c r="R328" s="62" t="inlineStr">
        <is>
          <t>Not started</t>
        </is>
      </c>
      <c r="S328" s="62" t="n"/>
    </row>
    <row r="329" ht="35.05" customHeight="1" s="51">
      <c r="A329" s="68" t="inlineStr">
        <is>
          <t>NB-328</t>
        </is>
      </c>
      <c r="B329" s="68" t="inlineStr">
        <is>
          <t>E27 Performance, Reliability &amp; Offline</t>
        </is>
      </c>
      <c r="C329" s="68" t="inlineStr">
        <is>
          <t>Performance</t>
        </is>
      </c>
      <c r="D329" s="68" t="inlineStr">
        <is>
          <t>Offline queue, replay &amp; sync banner</t>
        </is>
      </c>
      <c r="E329" s="68" t="inlineStr">
        <is>
          <t>Queued writes replay in order; no destructive action is offered while queued. A sync queue is a clinic working offline, not lost data.</t>
        </is>
      </c>
      <c r="F329" s="68" t="inlineStr">
        <is>
          <t>NFR-12,SYS-22</t>
        </is>
      </c>
      <c r="G329" s="68" t="inlineStr">
        <is>
          <t>Reception,Nurse</t>
        </is>
      </c>
      <c r="H329" s="68" t="inlineStr">
        <is>
          <t>Clinic</t>
        </is>
      </c>
      <c r="I329" s="68" t="inlineStr">
        <is>
          <t>Frontend</t>
        </is>
      </c>
      <c r="J329" s="69" t="inlineStr">
        <is>
          <t>Must</t>
        </is>
      </c>
      <c r="K329" s="69" t="inlineStr">
        <is>
          <t>MVP</t>
        </is>
      </c>
      <c r="L329" s="69" t="n">
        <v>8</v>
      </c>
      <c r="M329" s="69" t="n">
        <v>18</v>
      </c>
      <c r="N329" s="68">
        <f>IF(M329&lt;=4,"R1 Foundation",IF(M329&lt;=8,"R2 Core Clinic",IF(M329&lt;=13,"R3 Revenue &amp; Messaging",IF(M329&lt;=18,"R4 Patient &amp; Platform",IF(M329&lt;=20,"R5 Harden","R6 Launch")))))</f>
        <v/>
      </c>
      <c r="O329" s="70">
        <f>L329*README!$B$32</f>
        <v/>
      </c>
      <c r="P329" s="68" t="inlineStr">
        <is>
          <t>NB-020, NB-007</t>
        </is>
      </c>
      <c r="Q329" s="68" t="inlineStr">
        <is>
          <t>Queued writes replay in order after reconnect with no duplicates and no lost writes</t>
        </is>
      </c>
      <c r="R329" s="68" t="inlineStr">
        <is>
          <t>Not started</t>
        </is>
      </c>
      <c r="S329" s="68" t="n"/>
    </row>
    <row r="330" ht="15" customHeight="1" s="51">
      <c r="A330" s="62" t="inlineStr">
        <is>
          <t>NB-329</t>
        </is>
      </c>
      <c r="B330" s="62" t="inlineStr">
        <is>
          <t>E27 Performance, Reliability &amp; Offline</t>
        </is>
      </c>
      <c r="C330" s="62" t="inlineStr">
        <is>
          <t>Performance</t>
        </is>
      </c>
      <c r="D330" s="62" t="inlineStr">
        <is>
          <t>SLO definition &amp; error budget policy</t>
        </is>
      </c>
      <c r="E330" s="62" t="inlineStr">
        <is>
          <t>Availability and latency SLOs per critical journey.</t>
        </is>
      </c>
      <c r="F330" s="62" t="n"/>
      <c r="G330" s="62" t="inlineStr">
        <is>
          <t>All</t>
        </is>
      </c>
      <c r="H330" s="62" t="inlineStr">
        <is>
          <t>Shared</t>
        </is>
      </c>
      <c r="I330" s="62" t="inlineStr">
        <is>
          <t>DevOps</t>
        </is>
      </c>
      <c r="J330" s="66" t="inlineStr">
        <is>
          <t>Must</t>
        </is>
      </c>
      <c r="K330" s="66" t="inlineStr">
        <is>
          <t>MVP</t>
        </is>
      </c>
      <c r="L330" s="66" t="n">
        <v>3</v>
      </c>
      <c r="M330" s="66" t="n">
        <v>18</v>
      </c>
      <c r="N330" s="62">
        <f>IF(M330&lt;=4,"R1 Foundation",IF(M330&lt;=8,"R2 Core Clinic",IF(M330&lt;=13,"R3 Revenue &amp; Messaging",IF(M330&lt;=18,"R4 Patient &amp; Platform",IF(M330&lt;=20,"R5 Harden","R6 Launch")))))</f>
        <v/>
      </c>
      <c r="O330" s="67">
        <f>L330*README!$B$32</f>
        <v/>
      </c>
      <c r="P330" s="62" t="inlineStr">
        <is>
          <t>NB-304</t>
        </is>
      </c>
      <c r="Q330" s="62" t="inlineStr">
        <is>
          <t>SLOs published; error budget policy agreed</t>
        </is>
      </c>
      <c r="R330" s="62" t="inlineStr">
        <is>
          <t>Not started</t>
        </is>
      </c>
      <c r="S330" s="62" t="n"/>
    </row>
    <row r="331" ht="23.85" customHeight="1" s="51">
      <c r="A331" s="68" t="inlineStr">
        <is>
          <t>NB-330</t>
        </is>
      </c>
      <c r="B331" s="68" t="inlineStr">
        <is>
          <t>E27 Performance, Reliability &amp; Offline</t>
        </is>
      </c>
      <c r="C331" s="68" t="inlineStr">
        <is>
          <t>Performance</t>
        </is>
      </c>
      <c r="D331" s="68" t="inlineStr">
        <is>
          <t>Graceful degradation for third-party outages</t>
        </is>
      </c>
      <c r="E331" s="68" t="inlineStr">
        <is>
          <t>A WhatsApp, gateway, ZATCA or lab outage must never block clinical or billing work.</t>
        </is>
      </c>
      <c r="F331" s="68" t="inlineStr">
        <is>
          <t>SYS-01,NFR-12</t>
        </is>
      </c>
      <c r="G331" s="68" t="inlineStr">
        <is>
          <t>All</t>
        </is>
      </c>
      <c r="H331" s="68" t="inlineStr">
        <is>
          <t>Shared</t>
        </is>
      </c>
      <c r="I331" s="68" t="inlineStr">
        <is>
          <t>Backend</t>
        </is>
      </c>
      <c r="J331" s="69" t="inlineStr">
        <is>
          <t>Must</t>
        </is>
      </c>
      <c r="K331" s="69" t="inlineStr">
        <is>
          <t>MVP</t>
        </is>
      </c>
      <c r="L331" s="69" t="n">
        <v>8</v>
      </c>
      <c r="M331" s="69" t="n">
        <v>19</v>
      </c>
      <c r="N331" s="68">
        <f>IF(M331&lt;=4,"R1 Foundation",IF(M331&lt;=8,"R2 Core Clinic",IF(M331&lt;=13,"R3 Revenue &amp; Messaging",IF(M331&lt;=18,"R4 Patient &amp; Platform",IF(M331&lt;=20,"R5 Harden","R6 Launch")))))</f>
        <v/>
      </c>
      <c r="O331" s="70">
        <f>L331*README!$B$32</f>
        <v/>
      </c>
      <c r="P331" s="68" t="inlineStr">
        <is>
          <t>NB-193, NB-168</t>
        </is>
      </c>
      <c r="Q331" s="68" t="inlineStr">
        <is>
          <t>Chaos test: each provider down in turn, core journeys still complete</t>
        </is>
      </c>
      <c r="R331" s="68" t="inlineStr">
        <is>
          <t>Not started</t>
        </is>
      </c>
      <c r="S331" s="68" t="n"/>
    </row>
    <row r="332" ht="23.85" customHeight="1" s="51">
      <c r="A332" s="62" t="inlineStr">
        <is>
          <t>NB-331</t>
        </is>
      </c>
      <c r="B332" s="62" t="inlineStr">
        <is>
          <t>E27 Performance, Reliability &amp; Offline</t>
        </is>
      </c>
      <c r="C332" s="62" t="inlineStr">
        <is>
          <t>Performance</t>
        </is>
      </c>
      <c r="D332" s="62" t="inlineStr">
        <is>
          <t>Messaging backpressure &amp; provider rate-limit handling</t>
        </is>
      </c>
      <c r="E332" s="62" t="inlineStr">
        <is>
          <t>Respecting provider capacity with backpressure rather than dropping messages.</t>
        </is>
      </c>
      <c r="F332" s="62" t="inlineStr">
        <is>
          <t>NFR-02</t>
        </is>
      </c>
      <c r="G332" s="62" t="inlineStr">
        <is>
          <t>Platform</t>
        </is>
      </c>
      <c r="H332" s="62" t="inlineStr">
        <is>
          <t>Patient</t>
        </is>
      </c>
      <c r="I332" s="62" t="inlineStr">
        <is>
          <t>Backend</t>
        </is>
      </c>
      <c r="J332" s="66" t="inlineStr">
        <is>
          <t>Must</t>
        </is>
      </c>
      <c r="K332" s="66" t="inlineStr">
        <is>
          <t>MVP</t>
        </is>
      </c>
      <c r="L332" s="66" t="n">
        <v>5</v>
      </c>
      <c r="M332" s="66" t="n">
        <v>19</v>
      </c>
      <c r="N332" s="62">
        <f>IF(M332&lt;=4,"R1 Foundation",IF(M332&lt;=8,"R2 Core Clinic",IF(M332&lt;=13,"R3 Revenue &amp; Messaging",IF(M332&lt;=18,"R4 Patient &amp; Platform",IF(M332&lt;=20,"R5 Harden","R6 Launch")))))</f>
        <v/>
      </c>
      <c r="O332" s="67">
        <f>L332*README!$B$32</f>
        <v/>
      </c>
      <c r="P332" s="62" t="inlineStr">
        <is>
          <t>NB-200</t>
        </is>
      </c>
      <c r="Q332" s="62" t="inlineStr">
        <is>
          <t>Provider rate limit reached: messages queue and drain, none are lost</t>
        </is>
      </c>
      <c r="R332" s="62" t="inlineStr">
        <is>
          <t>Not started</t>
        </is>
      </c>
      <c r="S332" s="62" t="n"/>
    </row>
    <row r="333" ht="23.85" customHeight="1" s="51">
      <c r="A333" s="68" t="inlineStr">
        <is>
          <t>NB-332</t>
        </is>
      </c>
      <c r="B333" s="68" t="inlineStr">
        <is>
          <t>E27 Performance, Reliability &amp; Offline</t>
        </is>
      </c>
      <c r="C333" s="68" t="inlineStr">
        <is>
          <t>Performance</t>
        </is>
      </c>
      <c r="D333" s="68" t="inlineStr">
        <is>
          <t>Read-model lag monitoring</t>
        </is>
      </c>
      <c r="E333" s="68" t="inlineStr">
        <is>
          <t>Reporting lag is visible and bounded so the owner never acts on stale money figures unknowingly.</t>
        </is>
      </c>
      <c r="F333" s="68" t="inlineStr">
        <is>
          <t>OWN-01</t>
        </is>
      </c>
      <c r="G333" s="68" t="inlineStr">
        <is>
          <t>Owner</t>
        </is>
      </c>
      <c r="H333" s="68" t="inlineStr">
        <is>
          <t>Clinic</t>
        </is>
      </c>
      <c r="I333" s="68" t="inlineStr">
        <is>
          <t>Backend</t>
        </is>
      </c>
      <c r="J333" s="69" t="inlineStr">
        <is>
          <t>Should</t>
        </is>
      </c>
      <c r="K333" s="69" t="inlineStr">
        <is>
          <t>MVP</t>
        </is>
      </c>
      <c r="L333" s="69" t="n">
        <v>3</v>
      </c>
      <c r="M333" s="69" t="n">
        <v>19</v>
      </c>
      <c r="N333" s="68">
        <f>IF(M333&lt;=4,"R1 Foundation",IF(M333&lt;=8,"R2 Core Clinic",IF(M333&lt;=13,"R3 Revenue &amp; Messaging",IF(M333&lt;=18,"R4 Patient &amp; Platform",IF(M333&lt;=20,"R5 Harden","R6 Launch")))))</f>
        <v/>
      </c>
      <c r="O333" s="70">
        <f>L333*README!$B$32</f>
        <v/>
      </c>
      <c r="P333" s="68" t="inlineStr">
        <is>
          <t>NB-228, NB-304</t>
        </is>
      </c>
      <c r="Q333" s="68" t="inlineStr">
        <is>
          <t>Read-model staleness is displayed as an as-of time on every money surface</t>
        </is>
      </c>
      <c r="R333" s="68" t="inlineStr">
        <is>
          <t>Not started</t>
        </is>
      </c>
      <c r="S333" s="68" t="n"/>
    </row>
    <row r="334" ht="15" customHeight="1" s="51">
      <c r="A334" s="62" t="inlineStr">
        <is>
          <t>NB-333</t>
        </is>
      </c>
      <c r="B334" s="62" t="inlineStr">
        <is>
          <t>E28 Mobile, Tablet &amp; Display Surfaces</t>
        </is>
      </c>
      <c r="C334" s="62" t="inlineStr">
        <is>
          <t>Mobile</t>
        </is>
      </c>
      <c r="D334" s="62" t="inlineStr">
        <is>
          <t>Mobile shell — bottom nav, FAB, safe areas</t>
        </is>
      </c>
      <c r="E334" s="62" t="inlineStr">
        <is>
          <t>Maximum five destinations plus More; 64px nav plus safe area.</t>
        </is>
      </c>
      <c r="F334" s="62" t="n"/>
      <c r="G334" s="62" t="inlineStr">
        <is>
          <t>All</t>
        </is>
      </c>
      <c r="H334" s="62" t="inlineStr">
        <is>
          <t>Shared</t>
        </is>
      </c>
      <c r="I334" s="62" t="inlineStr">
        <is>
          <t>Frontend</t>
        </is>
      </c>
      <c r="J334" s="66" t="inlineStr">
        <is>
          <t>Must</t>
        </is>
      </c>
      <c r="K334" s="66" t="inlineStr">
        <is>
          <t>MVP</t>
        </is>
      </c>
      <c r="L334" s="66" t="n">
        <v>5</v>
      </c>
      <c r="M334" s="66" t="n">
        <v>8</v>
      </c>
      <c r="N334" s="62">
        <f>IF(M334&lt;=4,"R1 Foundation",IF(M334&lt;=8,"R2 Core Clinic",IF(M334&lt;=13,"R3 Revenue &amp; Messaging",IF(M334&lt;=18,"R4 Patient &amp; Platform",IF(M334&lt;=20,"R5 Harden","R6 Launch")))))</f>
        <v/>
      </c>
      <c r="O334" s="67">
        <f>L334*README!$B$32</f>
        <v/>
      </c>
      <c r="P334" s="62" t="inlineStr">
        <is>
          <t>NB-017</t>
        </is>
      </c>
      <c r="Q334" s="62" t="inlineStr">
        <is>
          <t>Matches the wireframe at 360-430px widths</t>
        </is>
      </c>
      <c r="R334" s="62" t="inlineStr">
        <is>
          <t>Not started</t>
        </is>
      </c>
      <c r="S334" s="62" t="n"/>
    </row>
    <row r="335" ht="23.85" customHeight="1" s="51">
      <c r="A335" s="68" t="inlineStr">
        <is>
          <t>NB-334</t>
        </is>
      </c>
      <c r="B335" s="68" t="inlineStr">
        <is>
          <t>E28 Mobile, Tablet &amp; Display Surfaces</t>
        </is>
      </c>
      <c r="C335" s="68" t="inlineStr">
        <is>
          <t>Mobile</t>
        </is>
      </c>
      <c r="D335" s="68" t="inlineStr">
        <is>
          <t>Tablet rail &amp; split-panel layouts</t>
        </is>
      </c>
      <c r="E335" s="68" t="inlineStr">
        <is>
          <t>88px rail and split panel at 1024x1366 — the clinic's primary device.</t>
        </is>
      </c>
      <c r="F335" s="68" t="n"/>
      <c r="G335" s="68" t="inlineStr">
        <is>
          <t>All</t>
        </is>
      </c>
      <c r="H335" s="68" t="inlineStr">
        <is>
          <t>Shared</t>
        </is>
      </c>
      <c r="I335" s="68" t="inlineStr">
        <is>
          <t>Frontend</t>
        </is>
      </c>
      <c r="J335" s="69" t="inlineStr">
        <is>
          <t>Must</t>
        </is>
      </c>
      <c r="K335" s="69" t="inlineStr">
        <is>
          <t>MVP</t>
        </is>
      </c>
      <c r="L335" s="69" t="n">
        <v>5</v>
      </c>
      <c r="M335" s="69" t="n">
        <v>9</v>
      </c>
      <c r="N335" s="68">
        <f>IF(M335&lt;=4,"R1 Foundation",IF(M335&lt;=8,"R2 Core Clinic",IF(M335&lt;=13,"R3 Revenue &amp; Messaging",IF(M335&lt;=18,"R4 Patient &amp; Platform",IF(M335&lt;=20,"R5 Harden","R6 Launch")))))</f>
        <v/>
      </c>
      <c r="O335" s="70">
        <f>L335*README!$B$32</f>
        <v/>
      </c>
      <c r="P335" s="68" t="inlineStr">
        <is>
          <t>NB-017</t>
        </is>
      </c>
      <c r="Q335" s="68" t="inlineStr">
        <is>
          <t>Verified in both orientations</t>
        </is>
      </c>
      <c r="R335" s="68" t="inlineStr">
        <is>
          <t>Not started</t>
        </is>
      </c>
      <c r="S335" s="68" t="n"/>
    </row>
    <row r="336" ht="23.85" customHeight="1" s="51">
      <c r="A336" s="62" t="inlineStr">
        <is>
          <t>NB-335</t>
        </is>
      </c>
      <c r="B336" s="62" t="inlineStr">
        <is>
          <t>E28 Mobile, Tablet &amp; Display Surfaces</t>
        </is>
      </c>
      <c r="C336" s="62" t="inlineStr">
        <is>
          <t>Mobile</t>
        </is>
      </c>
      <c r="D336" s="62" t="inlineStr">
        <is>
          <t>Table-to-card transformation below 768px</t>
        </is>
      </c>
      <c r="E336" s="62" t="inlineStr">
        <is>
          <t>Grouped mobile list rows with progressive detail in a bottom sheet.</t>
        </is>
      </c>
      <c r="F336" s="62" t="n"/>
      <c r="G336" s="62" t="inlineStr">
        <is>
          <t>All</t>
        </is>
      </c>
      <c r="H336" s="62" t="inlineStr">
        <is>
          <t>Shared</t>
        </is>
      </c>
      <c r="I336" s="62" t="inlineStr">
        <is>
          <t>Frontend</t>
        </is>
      </c>
      <c r="J336" s="66" t="inlineStr">
        <is>
          <t>Must</t>
        </is>
      </c>
      <c r="K336" s="66" t="inlineStr">
        <is>
          <t>MVP</t>
        </is>
      </c>
      <c r="L336" s="66" t="n">
        <v>5</v>
      </c>
      <c r="M336" s="66" t="n">
        <v>9</v>
      </c>
      <c r="N336" s="62">
        <f>IF(M336&lt;=4,"R1 Foundation",IF(M336&lt;=8,"R2 Core Clinic",IF(M336&lt;=13,"R3 Revenue &amp; Messaging",IF(M336&lt;=18,"R4 Patient &amp; Platform",IF(M336&lt;=20,"R5 Harden","R6 Launch")))))</f>
        <v/>
      </c>
      <c r="O336" s="67">
        <f>L336*README!$B$32</f>
        <v/>
      </c>
      <c r="P336" s="62" t="inlineStr">
        <is>
          <t>NB-014</t>
        </is>
      </c>
      <c r="Q336" s="62" t="inlineStr">
        <is>
          <t>No table renders under 768px anywhere in the product</t>
        </is>
      </c>
      <c r="R336" s="62" t="inlineStr">
        <is>
          <t>Not started</t>
        </is>
      </c>
      <c r="S336" s="62" t="n"/>
    </row>
    <row r="337" ht="23.85" customHeight="1" s="51">
      <c r="A337" s="68" t="inlineStr">
        <is>
          <t>NB-336</t>
        </is>
      </c>
      <c r="B337" s="68" t="inlineStr">
        <is>
          <t>E28 Mobile, Tablet &amp; Display Surfaces</t>
        </is>
      </c>
      <c r="C337" s="68" t="inlineStr">
        <is>
          <t>Mobile</t>
        </is>
      </c>
      <c r="D337" s="68" t="inlineStr">
        <is>
          <t>Bottom sheets replacing dropdowns and popovers on mobile</t>
        </is>
      </c>
      <c r="E337" s="68" t="inlineStr">
        <is>
          <t>Every dropdown, select and popover under 768px becomes a sheet.</t>
        </is>
      </c>
      <c r="F337" s="68" t="n"/>
      <c r="G337" s="68" t="inlineStr">
        <is>
          <t>All</t>
        </is>
      </c>
      <c r="H337" s="68" t="inlineStr">
        <is>
          <t>Shared</t>
        </is>
      </c>
      <c r="I337" s="68" t="inlineStr">
        <is>
          <t>Frontend</t>
        </is>
      </c>
      <c r="J337" s="69" t="inlineStr">
        <is>
          <t>Must</t>
        </is>
      </c>
      <c r="K337" s="69" t="inlineStr">
        <is>
          <t>MVP</t>
        </is>
      </c>
      <c r="L337" s="69" t="n">
        <v>3</v>
      </c>
      <c r="M337" s="69" t="n">
        <v>10</v>
      </c>
      <c r="N337" s="68">
        <f>IF(M337&lt;=4,"R1 Foundation",IF(M337&lt;=8,"R2 Core Clinic",IF(M337&lt;=13,"R3 Revenue &amp; Messaging",IF(M337&lt;=18,"R4 Patient &amp; Platform",IF(M337&lt;=20,"R5 Harden","R6 Launch")))))</f>
        <v/>
      </c>
      <c r="O337" s="70">
        <f>L337*README!$B$32</f>
        <v/>
      </c>
      <c r="P337" s="68" t="inlineStr">
        <is>
          <t>NB-014</t>
        </is>
      </c>
      <c r="Q337" s="68" t="inlineStr">
        <is>
          <t>Automated check: no popover positioned off-screen on mobile</t>
        </is>
      </c>
      <c r="R337" s="68" t="inlineStr">
        <is>
          <t>Not started</t>
        </is>
      </c>
      <c r="S337" s="68" t="n"/>
    </row>
    <row r="338" ht="35.05" customHeight="1" s="51">
      <c r="A338" s="62" t="inlineStr">
        <is>
          <t>NB-337</t>
        </is>
      </c>
      <c r="B338" s="62" t="inlineStr">
        <is>
          <t>E28 Mobile, Tablet &amp; Display Surfaces</t>
        </is>
      </c>
      <c r="C338" s="62" t="inlineStr">
        <is>
          <t>Mobile</t>
        </is>
      </c>
      <c r="D338" s="62" t="inlineStr">
        <is>
          <t>Waiting-room token display surface</t>
        </is>
      </c>
      <c r="E338" s="62" t="inlineStr">
        <is>
          <t>A full-screen browser display that is its own scale, not a breakpoint — now-serving at 56/62px and next-three raised to 32px for three-metre legibility.</t>
        </is>
      </c>
      <c r="F338" s="62" t="inlineStr">
        <is>
          <t>RCP-14</t>
        </is>
      </c>
      <c r="G338" s="62" t="inlineStr">
        <is>
          <t>Reception</t>
        </is>
      </c>
      <c r="H338" s="62" t="inlineStr">
        <is>
          <t>Clinic</t>
        </is>
      </c>
      <c r="I338" s="62" t="inlineStr">
        <is>
          <t>Frontend</t>
        </is>
      </c>
      <c r="J338" s="66" t="inlineStr">
        <is>
          <t>Must</t>
        </is>
      </c>
      <c r="K338" s="66" t="inlineStr">
        <is>
          <t>MVP</t>
        </is>
      </c>
      <c r="L338" s="66" t="n">
        <v>8</v>
      </c>
      <c r="M338" s="66" t="n">
        <v>12</v>
      </c>
      <c r="N338" s="62">
        <f>IF(M338&lt;=4,"R1 Foundation",IF(M338&lt;=8,"R2 Core Clinic",IF(M338&lt;=13,"R3 Revenue &amp; Messaging",IF(M338&lt;=18,"R4 Patient &amp; Platform",IF(M338&lt;=20,"R5 Harden","R6 Launch")))))</f>
        <v/>
      </c>
      <c r="O338" s="67">
        <f>L338*README!$B$32</f>
        <v/>
      </c>
      <c r="P338" s="62" t="inlineStr">
        <is>
          <t>NB-094, NB-096</t>
        </is>
      </c>
      <c r="Q338" s="62" t="inlineStr">
        <is>
          <t>Legible at three metres; shows no patient name by default</t>
        </is>
      </c>
      <c r="R338" s="62" t="inlineStr">
        <is>
          <t>Not started</t>
        </is>
      </c>
      <c r="S338" s="62" t="n"/>
    </row>
    <row r="339" ht="23.85" customHeight="1" s="51">
      <c r="A339" s="68" t="inlineStr">
        <is>
          <t>NB-338</t>
        </is>
      </c>
      <c r="B339" s="68" t="inlineStr">
        <is>
          <t>E28 Mobile, Tablet &amp; Display Surfaces</t>
        </is>
      </c>
      <c r="C339" s="68" t="inlineStr">
        <is>
          <t>Mobile</t>
        </is>
      </c>
      <c r="D339" s="68" t="inlineStr">
        <is>
          <t>Display liveness — paired, stale &amp; connection lost</t>
        </is>
      </c>
      <c r="E339" s="68" t="inlineStr">
        <is>
          <t>Re-checked every three seconds. The display must never show a silently frozen token.</t>
        </is>
      </c>
      <c r="F339" s="68" t="inlineStr">
        <is>
          <t>RCP-14</t>
        </is>
      </c>
      <c r="G339" s="68" t="inlineStr">
        <is>
          <t>Reception</t>
        </is>
      </c>
      <c r="H339" s="68" t="inlineStr">
        <is>
          <t>Clinic</t>
        </is>
      </c>
      <c r="I339" s="68" t="inlineStr">
        <is>
          <t>Frontend</t>
        </is>
      </c>
      <c r="J339" s="69" t="inlineStr">
        <is>
          <t>Must</t>
        </is>
      </c>
      <c r="K339" s="69" t="inlineStr">
        <is>
          <t>MVP</t>
        </is>
      </c>
      <c r="L339" s="69" t="n">
        <v>5</v>
      </c>
      <c r="M339" s="69" t="n">
        <v>13</v>
      </c>
      <c r="N339" s="68">
        <f>IF(M339&lt;=4,"R1 Foundation",IF(M339&lt;=8,"R2 Core Clinic",IF(M339&lt;=13,"R3 Revenue &amp; Messaging",IF(M339&lt;=18,"R4 Patient &amp; Platform",IF(M339&lt;=20,"R5 Harden","R6 Launch")))))</f>
        <v/>
      </c>
      <c r="O339" s="70">
        <f>L339*README!$B$32</f>
        <v/>
      </c>
      <c r="P339" s="68" t="inlineStr">
        <is>
          <t>NB-337</t>
        </is>
      </c>
      <c r="Q339" s="68" t="inlineStr">
        <is>
          <t>No update within three seconds turns the pill stale; a dropped connection says so explicitly</t>
        </is>
      </c>
      <c r="R339" s="68" t="inlineStr">
        <is>
          <t>Not started</t>
        </is>
      </c>
      <c r="S339" s="68" t="n"/>
    </row>
    <row r="340" ht="23.85" customHeight="1" s="51">
      <c r="A340" s="62" t="inlineStr">
        <is>
          <t>NB-339</t>
        </is>
      </c>
      <c r="B340" s="62" t="inlineStr">
        <is>
          <t>E28 Mobile, Tablet &amp; Display Surfaces</t>
        </is>
      </c>
      <c r="C340" s="62" t="inlineStr">
        <is>
          <t>Mobile</t>
        </is>
      </c>
      <c r="D340" s="62" t="inlineStr">
        <is>
          <t>Display pairing &amp; device management</t>
        </is>
      </c>
      <c r="E340" s="62" t="inlineStr">
        <is>
          <t>Pairing a screen to a clinic and managing paired devices.</t>
        </is>
      </c>
      <c r="F340" s="62" t="inlineStr">
        <is>
          <t>RCP-14,CAD-01</t>
        </is>
      </c>
      <c r="G340" s="62" t="inlineStr">
        <is>
          <t>Reception,Owner</t>
        </is>
      </c>
      <c r="H340" s="62" t="inlineStr">
        <is>
          <t>Clinic</t>
        </is>
      </c>
      <c r="I340" s="62" t="inlineStr">
        <is>
          <t>Fullstack</t>
        </is>
      </c>
      <c r="J340" s="66" t="inlineStr">
        <is>
          <t>Must</t>
        </is>
      </c>
      <c r="K340" s="66" t="inlineStr">
        <is>
          <t>MVP</t>
        </is>
      </c>
      <c r="L340" s="66" t="n">
        <v>5</v>
      </c>
      <c r="M340" s="66" t="n">
        <v>13</v>
      </c>
      <c r="N340" s="62">
        <f>IF(M340&lt;=4,"R1 Foundation",IF(M340&lt;=8,"R2 Core Clinic",IF(M340&lt;=13,"R3 Revenue &amp; Messaging",IF(M340&lt;=18,"R4 Patient &amp; Platform",IF(M340&lt;=20,"R5 Harden","R6 Launch")))))</f>
        <v/>
      </c>
      <c r="O340" s="67">
        <f>L340*README!$B$32</f>
        <v/>
      </c>
      <c r="P340" s="62" t="inlineStr">
        <is>
          <t>NB-337</t>
        </is>
      </c>
      <c r="Q340" s="62" t="inlineStr">
        <is>
          <t>An unpaired screen is reported in the setup checklist; pairing is revocable</t>
        </is>
      </c>
      <c r="R340" s="62" t="inlineStr">
        <is>
          <t>Not started</t>
        </is>
      </c>
      <c r="S340" s="62" t="n"/>
    </row>
    <row r="341" ht="15" customHeight="1" s="51">
      <c r="A341" s="68" t="inlineStr">
        <is>
          <t>NB-340</t>
        </is>
      </c>
      <c r="B341" s="68" t="inlineStr">
        <is>
          <t>E28 Mobile, Tablet &amp; Display Surfaces</t>
        </is>
      </c>
      <c r="C341" s="68" t="inlineStr">
        <is>
          <t>Mobile</t>
        </is>
      </c>
      <c r="D341" s="68" t="inlineStr">
        <is>
          <t>Touch target &amp; ergonomics audit</t>
        </is>
      </c>
      <c r="E341" s="68" t="inlineStr">
        <is>
          <t>44x44 minimum everywhere on touch, including icon-only controls.</t>
        </is>
      </c>
      <c r="F341" s="68" t="n"/>
      <c r="G341" s="68" t="inlineStr">
        <is>
          <t>All</t>
        </is>
      </c>
      <c r="H341" s="68" t="inlineStr">
        <is>
          <t>Shared</t>
        </is>
      </c>
      <c r="I341" s="68" t="inlineStr">
        <is>
          <t>QA</t>
        </is>
      </c>
      <c r="J341" s="69" t="inlineStr">
        <is>
          <t>Must</t>
        </is>
      </c>
      <c r="K341" s="69" t="inlineStr">
        <is>
          <t>MVP</t>
        </is>
      </c>
      <c r="L341" s="69" t="n">
        <v>3</v>
      </c>
      <c r="M341" s="69" t="n">
        <v>18</v>
      </c>
      <c r="N341" s="68">
        <f>IF(M341&lt;=4,"R1 Foundation",IF(M341&lt;=8,"R2 Core Clinic",IF(M341&lt;=13,"R3 Revenue &amp; Messaging",IF(M341&lt;=18,"R4 Patient &amp; Platform",IF(M341&lt;=20,"R5 Harden","R6 Launch")))))</f>
        <v/>
      </c>
      <c r="O341" s="70">
        <f>L341*README!$B$32</f>
        <v/>
      </c>
      <c r="P341" s="68" t="inlineStr">
        <is>
          <t>NB-333, NB-334</t>
        </is>
      </c>
      <c r="Q341" s="68" t="inlineStr">
        <is>
          <t>Automated measurement across every screen passes</t>
        </is>
      </c>
      <c r="R341" s="68" t="inlineStr">
        <is>
          <t>Not started</t>
        </is>
      </c>
      <c r="S341" s="68" t="n"/>
    </row>
    <row r="342" ht="23.85" customHeight="1" s="51">
      <c r="A342" s="62" t="inlineStr">
        <is>
          <t>NB-341</t>
        </is>
      </c>
      <c r="B342" s="62" t="inlineStr">
        <is>
          <t>E28 Mobile, Tablet &amp; Display Surfaces</t>
        </is>
      </c>
      <c r="C342" s="62" t="inlineStr">
        <is>
          <t>Mobile</t>
        </is>
      </c>
      <c r="D342" s="62" t="inlineStr">
        <is>
          <t>PWA — installability, offline shell &amp; push</t>
        </is>
      </c>
      <c r="E342" s="62" t="inlineStr">
        <is>
          <t>Installable on clinic tablets with an offline shell and push notifications.</t>
        </is>
      </c>
      <c r="F342" s="62" t="inlineStr">
        <is>
          <t>NFR-12</t>
        </is>
      </c>
      <c r="G342" s="62" t="inlineStr">
        <is>
          <t>All</t>
        </is>
      </c>
      <c r="H342" s="62" t="inlineStr">
        <is>
          <t>Shared</t>
        </is>
      </c>
      <c r="I342" s="62" t="inlineStr">
        <is>
          <t>Frontend</t>
        </is>
      </c>
      <c r="J342" s="66" t="inlineStr">
        <is>
          <t>Should</t>
        </is>
      </c>
      <c r="K342" s="66" t="inlineStr">
        <is>
          <t>Phase 2</t>
        </is>
      </c>
      <c r="L342" s="66" t="n">
        <v>8</v>
      </c>
      <c r="M342" s="66" t="n">
        <v>20</v>
      </c>
      <c r="N342" s="62">
        <f>IF(M342&lt;=4,"R1 Foundation",IF(M342&lt;=8,"R2 Core Clinic",IF(M342&lt;=13,"R3 Revenue &amp; Messaging",IF(M342&lt;=18,"R4 Patient &amp; Platform",IF(M342&lt;=20,"R5 Harden","R6 Launch")))))</f>
        <v/>
      </c>
      <c r="O342" s="67">
        <f>L342*README!$B$32</f>
        <v/>
      </c>
      <c r="P342" s="62" t="inlineStr">
        <is>
          <t>NB-333, NB-328</t>
        </is>
      </c>
      <c r="Q342" s="62" t="inlineStr">
        <is>
          <t>Installs on Android and iOS; the offline shell loads without network</t>
        </is>
      </c>
      <c r="R342" s="62" t="inlineStr">
        <is>
          <t>Not started</t>
        </is>
      </c>
      <c r="S342" s="62" t="n"/>
    </row>
    <row r="343" ht="23.85" customHeight="1" s="51">
      <c r="A343" s="68" t="inlineStr">
        <is>
          <t>NB-342</t>
        </is>
      </c>
      <c r="B343" s="68" t="inlineStr">
        <is>
          <t>E29 Launch, Migration &amp; Handover</t>
        </is>
      </c>
      <c r="C343" s="68" t="inlineStr">
        <is>
          <t>Launch</t>
        </is>
      </c>
      <c r="D343" s="68" t="inlineStr">
        <is>
          <t>Data migration toolkit from legacy systems</t>
        </is>
      </c>
      <c r="E343" s="68" t="inlineStr">
        <is>
          <t>Patient, appointment and invoice import with validation and dry-run.</t>
        </is>
      </c>
      <c r="F343" s="68" t="inlineStr">
        <is>
          <t>SYS-23</t>
        </is>
      </c>
      <c r="G343" s="68" t="inlineStr">
        <is>
          <t>Owner</t>
        </is>
      </c>
      <c r="H343" s="68" t="inlineStr">
        <is>
          <t>Shared</t>
        </is>
      </c>
      <c r="I343" s="68" t="inlineStr">
        <is>
          <t>Backend</t>
        </is>
      </c>
      <c r="J343" s="69" t="inlineStr">
        <is>
          <t>Should</t>
        </is>
      </c>
      <c r="K343" s="69" t="inlineStr">
        <is>
          <t>MVP</t>
        </is>
      </c>
      <c r="L343" s="69" t="n">
        <v>8</v>
      </c>
      <c r="M343" s="69" t="n">
        <v>19</v>
      </c>
      <c r="N343" s="68">
        <f>IF(M343&lt;=4,"R1 Foundation",IF(M343&lt;=8,"R2 Core Clinic",IF(M343&lt;=13,"R3 Revenue &amp; Messaging",IF(M343&lt;=18,"R4 Patient &amp; Platform",IF(M343&lt;=20,"R5 Harden","R6 Launch")))))</f>
        <v/>
      </c>
      <c r="O343" s="70">
        <f>L343*README!$B$32</f>
        <v/>
      </c>
      <c r="P343" s="68" t="inlineStr">
        <is>
          <t>NB-071, NB-162, NB-068</t>
        </is>
      </c>
      <c r="Q343" s="68" t="inlineStr">
        <is>
          <t>A dry-run report precedes every write; rollback available</t>
        </is>
      </c>
      <c r="R343" s="68" t="inlineStr">
        <is>
          <t>Not started</t>
        </is>
      </c>
      <c r="S343" s="68" t="n"/>
    </row>
    <row r="344" ht="23.85" customHeight="1" s="51">
      <c r="A344" s="62" t="inlineStr">
        <is>
          <t>NB-343</t>
        </is>
      </c>
      <c r="B344" s="62" t="inlineStr">
        <is>
          <t>E29 Launch, Migration &amp; Handover</t>
        </is>
      </c>
      <c r="C344" s="62" t="inlineStr">
        <is>
          <t>Launch</t>
        </is>
      </c>
      <c r="D344" s="62" t="inlineStr">
        <is>
          <t>Requirement traceability &amp; coverage sign-off</t>
        </is>
      </c>
      <c r="E344" s="62" t="inlineStr">
        <is>
          <t>Every requirement ID in the wireframe register is mapped to a delivered, tested task before go-live.</t>
        </is>
      </c>
      <c r="F344" s="62" t="n"/>
      <c r="G344" s="62" t="inlineStr">
        <is>
          <t>All</t>
        </is>
      </c>
      <c r="H344" s="62" t="inlineStr">
        <is>
          <t>Shared</t>
        </is>
      </c>
      <c r="I344" s="62" t="inlineStr">
        <is>
          <t>Delivery</t>
        </is>
      </c>
      <c r="J344" s="66" t="inlineStr">
        <is>
          <t>Must</t>
        </is>
      </c>
      <c r="K344" s="66" t="inlineStr">
        <is>
          <t>MVP</t>
        </is>
      </c>
      <c r="L344" s="66" t="n">
        <v>5</v>
      </c>
      <c r="M344" s="66" t="n">
        <v>22</v>
      </c>
      <c r="N344" s="62">
        <f>IF(M344&lt;=4,"R1 Foundation",IF(M344&lt;=8,"R2 Core Clinic",IF(M344&lt;=13,"R3 Revenue &amp; Messaging",IF(M344&lt;=18,"R4 Patient &amp; Platform",IF(M344&lt;=20,"R5 Harden","R6 Launch")))))</f>
        <v/>
      </c>
      <c r="O344" s="67">
        <f>L344*README!$B$32</f>
        <v/>
      </c>
      <c r="P344" s="62" t="inlineStr">
        <is>
          <t>NB-315</t>
        </is>
      </c>
      <c r="Q344" s="62" t="inlineStr">
        <is>
          <t>Coverage report shows zero uncovered MVP requirement IDs</t>
        </is>
      </c>
      <c r="R344" s="62" t="inlineStr">
        <is>
          <t>Not started</t>
        </is>
      </c>
      <c r="S344" s="62" t="n"/>
    </row>
    <row r="345" ht="23.85" customHeight="1" s="51">
      <c r="A345" s="68" t="inlineStr">
        <is>
          <t>NB-344</t>
        </is>
      </c>
      <c r="B345" s="68" t="inlineStr">
        <is>
          <t>E29 Launch, Migration &amp; Handover</t>
        </is>
      </c>
      <c r="C345" s="68" t="inlineStr">
        <is>
          <t>Launch</t>
        </is>
      </c>
      <c r="D345" s="68" t="inlineStr">
        <is>
          <t>Pilot rollout plan &amp; rollback criteria</t>
        </is>
      </c>
      <c r="E345" s="68" t="inlineStr">
        <is>
          <t>Two pilot clinics per region with defined success metrics and abort triggers.</t>
        </is>
      </c>
      <c r="F345" s="68" t="n"/>
      <c r="G345" s="68" t="inlineStr">
        <is>
          <t>All</t>
        </is>
      </c>
      <c r="H345" s="68" t="inlineStr">
        <is>
          <t>Shared</t>
        </is>
      </c>
      <c r="I345" s="68" t="inlineStr">
        <is>
          <t>Delivery</t>
        </is>
      </c>
      <c r="J345" s="69" t="inlineStr">
        <is>
          <t>Must</t>
        </is>
      </c>
      <c r="K345" s="69" t="inlineStr">
        <is>
          <t>MVP</t>
        </is>
      </c>
      <c r="L345" s="69" t="n">
        <v>5</v>
      </c>
      <c r="M345" s="69" t="n">
        <v>22</v>
      </c>
      <c r="N345" s="68">
        <f>IF(M345&lt;=4,"R1 Foundation",IF(M345&lt;=8,"R2 Core Clinic",IF(M345&lt;=13,"R3 Revenue &amp; Messaging",IF(M345&lt;=18,"R4 Patient &amp; Platform",IF(M345&lt;=20,"R5 Harden","R6 Launch")))))</f>
        <v/>
      </c>
      <c r="O345" s="70">
        <f>L345*README!$B$32</f>
        <v/>
      </c>
      <c r="P345" s="68" t="inlineStr">
        <is>
          <t>NB-323</t>
        </is>
      </c>
      <c r="Q345" s="68" t="inlineStr">
        <is>
          <t>Plan approved; rollback rehearsed</t>
        </is>
      </c>
      <c r="R345" s="68" t="inlineStr">
        <is>
          <t>Not started</t>
        </is>
      </c>
      <c r="S345" s="68" t="n"/>
    </row>
    <row r="346" ht="23.85" customHeight="1" s="51">
      <c r="A346" s="62" t="inlineStr">
        <is>
          <t>NB-345</t>
        </is>
      </c>
      <c r="B346" s="62" t="inlineStr">
        <is>
          <t>E29 Launch, Migration &amp; Handover</t>
        </is>
      </c>
      <c r="C346" s="62" t="inlineStr">
        <is>
          <t>Launch</t>
        </is>
      </c>
      <c r="D346" s="62" t="inlineStr">
        <is>
          <t>User documentation &amp; in-app guidance per role</t>
        </is>
      </c>
      <c r="E346" s="62" t="inlineStr">
        <is>
          <t>Role-specific help and first-run tours in all three interface languages.</t>
        </is>
      </c>
      <c r="F346" s="62" t="inlineStr">
        <is>
          <t>NFR-18</t>
        </is>
      </c>
      <c r="G346" s="62" t="inlineStr">
        <is>
          <t>All</t>
        </is>
      </c>
      <c r="H346" s="62" t="inlineStr">
        <is>
          <t>Shared</t>
        </is>
      </c>
      <c r="I346" s="62" t="inlineStr">
        <is>
          <t>Delivery</t>
        </is>
      </c>
      <c r="J346" s="66" t="inlineStr">
        <is>
          <t>Must</t>
        </is>
      </c>
      <c r="K346" s="66" t="inlineStr">
        <is>
          <t>MVP</t>
        </is>
      </c>
      <c r="L346" s="66" t="n">
        <v>5</v>
      </c>
      <c r="M346" s="66" t="n">
        <v>20</v>
      </c>
      <c r="N346" s="62">
        <f>IF(M346&lt;=4,"R1 Foundation",IF(M346&lt;=8,"R2 Core Clinic",IF(M346&lt;=13,"R3 Revenue &amp; Messaging",IF(M346&lt;=18,"R4 Patient &amp; Platform",IF(M346&lt;=20,"R5 Harden","R6 Launch")))))</f>
        <v/>
      </c>
      <c r="O346" s="67">
        <f>L346*README!$B$32</f>
        <v/>
      </c>
      <c r="P346" s="62" t="inlineStr">
        <is>
          <t>NB-030, NB-315</t>
        </is>
      </c>
      <c r="Q346" s="62" t="inlineStr">
        <is>
          <t>Docs published in EN/AR/HI; tour completion tracked</t>
        </is>
      </c>
      <c r="R346" s="62" t="inlineStr">
        <is>
          <t>Not started</t>
        </is>
      </c>
      <c r="S346" s="62" t="n"/>
    </row>
    <row r="347" ht="23.85" customHeight="1" s="51">
      <c r="A347" s="68" t="inlineStr">
        <is>
          <t>NB-346</t>
        </is>
      </c>
      <c r="B347" s="68" t="inlineStr">
        <is>
          <t>E29 Launch, Migration &amp; Handover</t>
        </is>
      </c>
      <c r="C347" s="68" t="inlineStr">
        <is>
          <t>Launch</t>
        </is>
      </c>
      <c r="D347" s="68" t="inlineStr">
        <is>
          <t>Staff training &amp; train-the-trainer</t>
        </is>
      </c>
      <c r="E347" s="68" t="inlineStr">
        <is>
          <t>Reception, nurse, doctor, owner and platform-operator tracks with a competency check.</t>
        </is>
      </c>
      <c r="F347" s="68" t="n"/>
      <c r="G347" s="68" t="inlineStr">
        <is>
          <t>All</t>
        </is>
      </c>
      <c r="H347" s="68" t="inlineStr">
        <is>
          <t>Shared</t>
        </is>
      </c>
      <c r="I347" s="68" t="inlineStr">
        <is>
          <t>Delivery</t>
        </is>
      </c>
      <c r="J347" s="69" t="inlineStr">
        <is>
          <t>Must</t>
        </is>
      </c>
      <c r="K347" s="69" t="inlineStr">
        <is>
          <t>MVP</t>
        </is>
      </c>
      <c r="L347" s="69" t="n">
        <v>8</v>
      </c>
      <c r="M347" s="69" t="n">
        <v>21</v>
      </c>
      <c r="N347" s="68">
        <f>IF(M347&lt;=4,"R1 Foundation",IF(M347&lt;=8,"R2 Core Clinic",IF(M347&lt;=13,"R3 Revenue &amp; Messaging",IF(M347&lt;=18,"R4 Patient &amp; Platform",IF(M347&lt;=20,"R5 Harden","R6 Launch")))))</f>
        <v/>
      </c>
      <c r="O347" s="70">
        <f>L347*README!$B$32</f>
        <v/>
      </c>
      <c r="P347" s="68" t="inlineStr">
        <is>
          <t>NB-345</t>
        </is>
      </c>
      <c r="Q347" s="68" t="inlineStr">
        <is>
          <t>All pilot staff certified before go-live</t>
        </is>
      </c>
      <c r="R347" s="68" t="inlineStr">
        <is>
          <t>Not started</t>
        </is>
      </c>
      <c r="S347" s="68" t="n"/>
    </row>
    <row r="348" ht="23.85" customHeight="1" s="51">
      <c r="A348" s="62" t="inlineStr">
        <is>
          <t>NB-347</t>
        </is>
      </c>
      <c r="B348" s="62" t="inlineStr">
        <is>
          <t>E29 Launch, Migration &amp; Handover</t>
        </is>
      </c>
      <c r="C348" s="62" t="inlineStr">
        <is>
          <t>Launch</t>
        </is>
      </c>
      <c r="D348" s="62" t="inlineStr">
        <is>
          <t>Support model, SLA &amp; escalation</t>
        </is>
      </c>
      <c r="E348" s="62" t="inlineStr">
        <is>
          <t>Tiered support, ticketing and a clinical-impact escalation path, wired to the platform ticket console.</t>
        </is>
      </c>
      <c r="F348" s="62" t="inlineStr">
        <is>
          <t>SSA-08</t>
        </is>
      </c>
      <c r="G348" s="62" t="inlineStr">
        <is>
          <t>Platform</t>
        </is>
      </c>
      <c r="H348" s="62" t="inlineStr">
        <is>
          <t>Platform</t>
        </is>
      </c>
      <c r="I348" s="62" t="inlineStr">
        <is>
          <t>Delivery</t>
        </is>
      </c>
      <c r="J348" s="66" t="inlineStr">
        <is>
          <t>Must</t>
        </is>
      </c>
      <c r="K348" s="66" t="inlineStr">
        <is>
          <t>MVP</t>
        </is>
      </c>
      <c r="L348" s="66" t="n">
        <v>3</v>
      </c>
      <c r="M348" s="66" t="n">
        <v>22</v>
      </c>
      <c r="N348" s="62">
        <f>IF(M348&lt;=4,"R1 Foundation",IF(M348&lt;=8,"R2 Core Clinic",IF(M348&lt;=13,"R3 Revenue &amp; Messaging",IF(M348&lt;=18,"R4 Patient &amp; Platform",IF(M348&lt;=20,"R5 Harden","R6 Launch")))))</f>
        <v/>
      </c>
      <c r="O348" s="67">
        <f>L348*README!$B$32</f>
        <v/>
      </c>
      <c r="P348" s="62" t="inlineStr">
        <is>
          <t>NB-305, NB-265</t>
        </is>
      </c>
      <c r="Q348" s="62" t="inlineStr">
        <is>
          <t>SLA published; escalation tested end to end</t>
        </is>
      </c>
      <c r="R348" s="62" t="inlineStr">
        <is>
          <t>Not started</t>
        </is>
      </c>
      <c r="S348" s="62" t="n"/>
    </row>
    <row r="349" ht="23.85" customHeight="1" s="51">
      <c r="A349" s="68" t="inlineStr">
        <is>
          <t>NB-348</t>
        </is>
      </c>
      <c r="B349" s="68" t="inlineStr">
        <is>
          <t>E29 Launch, Migration &amp; Handover</t>
        </is>
      </c>
      <c r="C349" s="68" t="inlineStr">
        <is>
          <t>Launch</t>
        </is>
      </c>
      <c r="D349" s="68" t="inlineStr">
        <is>
          <t>Staff security awareness &amp; data handling training</t>
        </is>
      </c>
      <c r="E349" s="68" t="inlineStr">
        <is>
          <t>Onboarding and annual refresher with tracked completion, plus the annual tenant drill.</t>
        </is>
      </c>
      <c r="F349" s="68" t="inlineStr">
        <is>
          <t>NFR-09</t>
        </is>
      </c>
      <c r="G349" s="68" t="inlineStr">
        <is>
          <t>All</t>
        </is>
      </c>
      <c r="H349" s="68" t="inlineStr">
        <is>
          <t>Shared</t>
        </is>
      </c>
      <c r="I349" s="68" t="inlineStr">
        <is>
          <t>Compliance</t>
        </is>
      </c>
      <c r="J349" s="69" t="inlineStr">
        <is>
          <t>Should</t>
        </is>
      </c>
      <c r="K349" s="69" t="inlineStr">
        <is>
          <t>MVP</t>
        </is>
      </c>
      <c r="L349" s="69" t="n">
        <v>3</v>
      </c>
      <c r="M349" s="69" t="n">
        <v>22</v>
      </c>
      <c r="N349" s="68">
        <f>IF(M349&lt;=4,"R1 Foundation",IF(M349&lt;=8,"R2 Core Clinic",IF(M349&lt;=13,"R3 Revenue &amp; Messaging",IF(M349&lt;=18,"R4 Patient &amp; Platform",IF(M349&lt;=20,"R5 Harden","R6 Launch")))))</f>
        <v/>
      </c>
      <c r="O349" s="70">
        <f>L349*README!$B$32</f>
        <v/>
      </c>
      <c r="P349" s="68" t="inlineStr">
        <is>
          <t>NB-248</t>
        </is>
      </c>
      <c r="Q349" s="68" t="inlineStr">
        <is>
          <t>100% completion before go-live; annual drill scheduled</t>
        </is>
      </c>
      <c r="R349" s="68" t="inlineStr">
        <is>
          <t>Not started</t>
        </is>
      </c>
      <c r="S349" s="68" t="n"/>
    </row>
    <row r="350" ht="35.05" customHeight="1" s="51">
      <c r="A350" s="62" t="inlineStr">
        <is>
          <t>NB-349</t>
        </is>
      </c>
      <c r="B350" s="62" t="inlineStr">
        <is>
          <t>E29 Launch, Migration &amp; Handover</t>
        </is>
      </c>
      <c r="C350" s="62" t="inlineStr">
        <is>
          <t>Launch</t>
        </is>
      </c>
      <c r="D350" s="62" t="inlineStr">
        <is>
          <t>Go-live readiness review &amp; sign-off</t>
        </is>
      </c>
      <c r="E350" s="62" t="inlineStr">
        <is>
          <t>Security, compliance, clinical safety, tax, performance and support gates all green.</t>
        </is>
      </c>
      <c r="F350" s="62" t="n"/>
      <c r="G350" s="62" t="inlineStr">
        <is>
          <t>All</t>
        </is>
      </c>
      <c r="H350" s="62" t="inlineStr">
        <is>
          <t>Shared</t>
        </is>
      </c>
      <c r="I350" s="62" t="inlineStr">
        <is>
          <t>Delivery</t>
        </is>
      </c>
      <c r="J350" s="66" t="inlineStr">
        <is>
          <t>Must</t>
        </is>
      </c>
      <c r="K350" s="66" t="inlineStr">
        <is>
          <t>MVP</t>
        </is>
      </c>
      <c r="L350" s="66" t="n">
        <v>5</v>
      </c>
      <c r="M350" s="66" t="n">
        <v>23</v>
      </c>
      <c r="N350" s="62">
        <f>IF(M351&lt;=4,"R1 Foundation",IF(M351&lt;=8,"R2 Core Clinic",IF(M351&lt;=13,"R3 Revenue &amp; Messaging",IF(M351&lt;=18,"R4 Patient &amp; Platform",IF(M351&lt;=20,"R5 Harden","R6 Launch")))))</f>
        <v/>
      </c>
      <c r="O350" s="67">
        <f>L351*README!$B$32</f>
        <v/>
      </c>
      <c r="P350" s="62" t="inlineStr">
        <is>
          <t>NB-294, NB-295, NB-323, NB-307, NB-327, NB-322, NB-343</t>
        </is>
      </c>
      <c r="Q350" s="62" t="inlineStr">
        <is>
          <t>Signed readiness checklist from every gate owner, per region</t>
        </is>
      </c>
      <c r="R350" s="62" t="inlineStr">
        <is>
          <t>Not started</t>
        </is>
      </c>
      <c r="S350" s="62" t="n"/>
    </row>
    <row r="351" s="51">
      <c r="A351" s="50" t="inlineStr">
        <is>
          <t>NB-350</t>
        </is>
      </c>
      <c r="B351" s="50" t="inlineStr">
        <is>
          <t>E05 Identity, Auth &amp; Session</t>
        </is>
      </c>
      <c r="C351" s="50" t="inlineStr">
        <is>
          <t>Auth</t>
        </is>
      </c>
      <c r="D351" s="50" t="inlineStr">
        <is>
          <t>Owner account — Brand/Clinic hierarchy &amp; workspace login</t>
        </is>
      </c>
      <c r="E351" s="50" t="inlineStr">
        <is>
          <t>Owner is a new top-level account (not a row in any clinic's staff table) that owns Brand(s), each containing Clinic(s). PIN login issues a short-lived pendingToken scoped only to listing/selecting a workspace; selecting a clinic mints a normal staff-shaped access/refresh token pair via a lazily-created shadow staff row (staff.owner_id), reusing every existing clinic endpoint's RBAC checks unchanged. Clinic (tenants) remains the RLS boundary; brand-wide RLS support (app.accessible_tenant_ids) shipped at the DB layer but has no consuming dashboard endpoint yet.</t>
        </is>
      </c>
      <c r="G351" s="50" t="inlineStr">
        <is>
          <t>Owner</t>
        </is>
      </c>
      <c r="H351" s="50" t="inlineStr">
        <is>
          <t>Shared</t>
        </is>
      </c>
      <c r="I351" s="50" t="inlineStr">
        <is>
          <t>Security</t>
        </is>
      </c>
      <c r="J351" s="50" t="inlineStr">
        <is>
          <t>Must</t>
        </is>
      </c>
      <c r="K351" s="50" t="inlineStr">
        <is>
          <t>MVP</t>
        </is>
      </c>
      <c r="P351" s="50" t="inlineStr">
        <is>
          <t>NB-040, NB-043, NB-049</t>
        </is>
      </c>
      <c r="Q351" s="50" t="inlineStr">
        <is>
          <t>Selecting a clinic the owner doesn't own returns 404, not 403; workspace listing never includes another owner's brands or clinics; the minted clinic token works unchanged against every existing staff-facing endpoint; selecting the same clinic twice reuses one shadow staff row, not a duplicate</t>
        </is>
      </c>
      <c r="R351" s="50" t="inlineStr">
        <is>
          <t>Done</t>
        </is>
      </c>
    </row>
    <row r="352" s="51">
      <c r="A352" s="50" t="inlineStr">
        <is>
          <t>NB-351</t>
        </is>
      </c>
      <c r="B352" s="50" t="inlineStr">
        <is>
          <t>E05 Identity, Auth &amp; Session</t>
        </is>
      </c>
      <c r="C352" s="50" t="inlineStr">
        <is>
          <t>Auth</t>
        </is>
      </c>
      <c r="D352" s="50" t="inlineStr">
        <is>
          <t>Super Admin — dedicated operator login (master schema)</t>
        </is>
      </c>
      <c r="E352" s="50" t="inlineStr">
        <is>
          <t>Platform operators (super_admin, implementation, support_engineer, billing, sre, commercial, compliance_dpo) are a separate identity domain from clinic staff/owners, not a reserved tenant reusing staff login. master.operators/sessions/login_attempts live in a dedicated master Postgres schema, outside the tenant-scoped public schema and its RLS. PlatformAuthService mirrors the staff/owner login path's proven lockout (no self-renewal on repeated still-locked hits) and session-ownership (revoke only ever targets the caller's own session) fixes from day one, plus refresh-token rotation with family-based reuse detection and TOTP MFA. Matching /platform/login frontend page, same design tokens as /login, no clinic-code field since operators aren't tenant-scoped.</t>
        </is>
      </c>
      <c r="G352" s="50" t="inlineStr">
        <is>
          <t>Super Admin</t>
        </is>
      </c>
      <c r="H352" s="50" t="inlineStr">
        <is>
          <t>Shared</t>
        </is>
      </c>
      <c r="I352" s="50" t="inlineStr">
        <is>
          <t>Security</t>
        </is>
      </c>
      <c r="J352" s="50" t="inlineStr">
        <is>
          <t>Must</t>
        </is>
      </c>
      <c r="K352" s="50" t="inlineStr">
        <is>
          <t>MVP</t>
        </is>
      </c>
      <c r="P352" s="50" t="inlineStr">
        <is>
          <t>NB-002, NB-040</t>
        </is>
      </c>
      <c r="Q352" s="50" t="inlineStr">
        <is>
          <t>POST /v1/platform/auth/login + /mfa/verify + /refresh + /logout + /sessions all work against master.operators, never public.staff; a still-locked login hit does not extend the lockout window; DELETE /v1/platform/auth/sessions/{id} 404s for a session owned by another operator; a reused refresh token revokes its whole family, including the token just rotated to; /platform/login renders and authenticates against a live backend</t>
        </is>
      </c>
      <c r="R352" s="50" t="inlineStr">
        <is>
          <t>Done</t>
        </is>
      </c>
    </row>
    <row r="353">
      <c r="A353" s="54" t="inlineStr">
        <is>
          <t>TOTAL</t>
        </is>
      </c>
      <c r="D353" s="54">
        <f>COUNTA(A2:A352)&amp;" tasks"</f>
        <v/>
      </c>
      <c r="L353" s="54">
        <f>SUM(L2:L352)</f>
        <v/>
      </c>
      <c r="O353" s="71">
        <f>SUM(O2:O352)</f>
        <v/>
      </c>
    </row>
    <row r="354" s="51">
      <c r="A354" s="68" t="inlineStr">
        <is>
          <t>NB-352</t>
        </is>
      </c>
      <c r="B354" s="68" t="inlineStr">
        <is>
          <t>E22 Platform Console — SaaS Operations</t>
        </is>
      </c>
      <c r="C354" s="68" t="inlineStr">
        <is>
          <t>Platform</t>
        </is>
      </c>
      <c r="D354" s="68" t="inlineStr">
        <is>
          <t>Tenant Provisioning console page</t>
        </is>
      </c>
      <c r="E354" s="68" t="inlineStr">
        <is>
          <t>Frontend for the provisioning job queue (NB-258/259/260/261) — create a job, approve enterprise-gated jobs, advance and inspect each of the six steps with its status and error detail.</t>
        </is>
      </c>
      <c r="F354" s="68" t="inlineStr">
        <is>
          <t>SSA-01</t>
        </is>
      </c>
      <c r="G354" s="68" t="inlineStr">
        <is>
          <t>Platform</t>
        </is>
      </c>
      <c r="H354" s="68" t="inlineStr">
        <is>
          <t>Platform</t>
        </is>
      </c>
      <c r="I354" s="68" t="inlineStr">
        <is>
          <t>Frontend</t>
        </is>
      </c>
      <c r="J354" s="69" t="inlineStr">
        <is>
          <t>Must</t>
        </is>
      </c>
      <c r="K354" s="69" t="inlineStr">
        <is>
          <t>MVP</t>
        </is>
      </c>
      <c r="L354" s="69" t="n">
        <v>5</v>
      </c>
      <c r="M354" s="69" t="n"/>
      <c r="N354" s="68" t="n"/>
      <c r="O354" s="70" t="n"/>
      <c r="P354" s="68" t="inlineStr">
        <is>
          <t>NB-258, NB-259, NB-260, NB-261</t>
        </is>
      </c>
      <c r="Q354" s="68" t="inlineStr">
        <is>
          <t>Every step is inspectable with its own status and error detail; enterprise-path jobs cannot advance before approval</t>
        </is>
      </c>
      <c r="R354" s="68" t="inlineStr">
        <is>
          <t>Done</t>
        </is>
      </c>
      <c r="S354" s="68" t="n"/>
    </row>
    <row r="355" s="51">
      <c r="A355" s="68" t="inlineStr">
        <is>
          <t>NB-353</t>
        </is>
      </c>
      <c r="B355" s="68" t="inlineStr">
        <is>
          <t>E22 Platform Console — SaaS Operations</t>
        </is>
      </c>
      <c r="C355" s="68" t="inlineStr">
        <is>
          <t>Platform</t>
        </is>
      </c>
      <c r="D355" s="68" t="inlineStr">
        <is>
          <t>Provisioning creates the owner's real login</t>
        </is>
      </c>
      <c r="E355" s="68" t="inlineStr">
        <is>
          <t>verify_invite_owner now creates a real, login-capable staff row for the owner (reusing StaffService.invite/acceptInvite) instead of logging a mock invite line. Captures ownerMobile at provisioning time so the existing WhatsApp-OTP PIN reset (AuthService.requestPinReset) works for this owner from day one. Sends the invite link by real email via Gmail SMTP (EmailSender seam: SmtpEmailSender when SMTP_HOST is configured, LoggingEmailSender otherwise — every local/test run today). The raw invite token is still also returned once on the advance() response as a manual-relay fallback if the email never lands.</t>
        </is>
      </c>
      <c r="F355" s="68" t="inlineStr">
        <is>
          <t>SSA-01</t>
        </is>
      </c>
      <c r="G355" s="68" t="inlineStr">
        <is>
          <t>Owner</t>
        </is>
      </c>
      <c r="H355" s="68" t="inlineStr">
        <is>
          <t>Platform</t>
        </is>
      </c>
      <c r="I355" s="68" t="inlineStr">
        <is>
          <t>Fullstack</t>
        </is>
      </c>
      <c r="J355" s="69" t="inlineStr">
        <is>
          <t>Must</t>
        </is>
      </c>
      <c r="K355" s="69" t="inlineStr">
        <is>
          <t>MVP</t>
        </is>
      </c>
      <c r="L355" s="69" t="n">
        <v>5</v>
      </c>
      <c r="M355" s="69" t="n"/>
      <c r="N355" s="68" t="n"/>
      <c r="O355" s="70" t="n"/>
      <c r="P355" s="68" t="inlineStr">
        <is>
          <t>NB-258</t>
        </is>
      </c>
      <c r="Q355" s="68" t="inlineStr">
        <is>
          <t>verify_invite_owner creates a staff row for the owner (status invited) with a hashed invite token; advance() returns the raw invite token exactly once, on the response immediately after that step runs; a fatal failure on a later step rolls back and deletes that staff row; retrying advance() after the owner is already invited does not create a duplicate row. When SMTP_HOST is configured, the owner also receives a real email containing the invite link.</t>
        </is>
      </c>
      <c r="R355" s="68" t="inlineStr">
        <is>
          <t>Done</t>
        </is>
      </c>
      <c r="S355" s="68" t="n"/>
    </row>
    <row r="356">
      <c r="A356" s="50" t="inlineStr">
        <is>
          <t>NB-355</t>
        </is>
      </c>
      <c r="B356" s="50" t="inlineStr">
        <is>
          <t>E10 Queue, Scheduling &amp; Availability</t>
        </is>
      </c>
      <c r="C356" s="50" t="inlineStr">
        <is>
          <t>Queue</t>
        </is>
      </c>
      <c r="D356" s="50" t="inlineStr">
        <is>
          <t>Departments + inter-department transfer</t>
        </is>
      </c>
      <c r="E356" s="50" t="inlineStr">
        <is>
          <t>A first-class per-tenant Department entity (e.g. Dental, Dermatology) that a visit is routed to at check-in, replacing the single hardcoded pipeline with a per-department requiresVitals toggle (skip the vitals step entirely). An owner-designed transfer graph (department_transfers) lets a doctor mid-consultation send a patient into another department's queue instead of billing this leg — closes the current queue_entries row (transferred_out) and opens a linked one (parent_queue_entry_id) in the target department, reusing the existing checkout pipeline unchanged per leg. Every already-provisioned tenant is backfilled with a default department so nothing existing breaks the moment this ships.</t>
        </is>
      </c>
      <c r="G356" s="50" t="inlineStr">
        <is>
          <t>Owner,Reception,Nurse,Doctor</t>
        </is>
      </c>
      <c r="H356" s="50" t="inlineStr">
        <is>
          <t>Clinic</t>
        </is>
      </c>
      <c r="I356" s="50" t="inlineStr">
        <is>
          <t>Fullstack</t>
        </is>
      </c>
      <c r="J356" s="50" t="inlineStr">
        <is>
          <t>Must</t>
        </is>
      </c>
      <c r="K356" s="50" t="inlineStr">
        <is>
          <t>MVP</t>
        </is>
      </c>
      <c r="Q356" s="50" t="inlineStr">
        <is>
          <t>An existing tenant's check-in/vitals/consult/checkout behavior is unchanged after the migration; a department with requiresVitals=false skips straight from waiting to in_consult; a transfer is only permitted along an owner-configured edge and only from in_consult; each leg of a transferred visit checks out with its own invoice.</t>
        </is>
      </c>
      <c r="R356" s="50" t="inlineStr">
        <is>
          <t>Done</t>
        </is>
      </c>
    </row>
    <row r="357">
      <c r="A357" s="50" t="inlineStr">
        <is>
          <t>NB-356</t>
        </is>
      </c>
      <c r="B357" s="50" t="inlineStr">
        <is>
          <t>E10 Queue, Scheduling &amp; Availability</t>
        </is>
      </c>
      <c r="C357" s="50" t="inlineStr">
        <is>
          <t>Queue</t>
        </is>
      </c>
      <c r="D357" s="50" t="inlineStr">
        <is>
          <t>Configurable multi-step visit flow per department, with interim billing</t>
        </is>
      </c>
      <c r="E357" s="50" t="inlineStr">
        <is>
          <t>Generalizes NB-354's single requires_vitals boolean into a fully reorderable sequence of visit stages per department (visit_flow_steps: billing, vitals, consultation, procedures — check-in/waiting and checkout_pending/completed stay fixed first/last anchors), so an owner can design e.g. Reception -&gt; Billing (consultation fee) -&gt; Vitals -&gt; Consultation -&gt; Checkout for a general clinic, or Reception -&gt; Consultation -&gt; Procedures -&gt; Billing -&gt; Checkout for a dental clinic. Staff are assigned to a department for staffing purposes too (Nursing, Reception, Billing), reusing the same departments table. An interim billing stop is a real, separate payment (e.g. a consultation fee charged before the doctor is seen) — CheckoutService.checkout() now creates the invoice at the FIRST billing checkpoint a visit reaches and appends to the SAME invoice at any later one (including the terminal checkout), so a visit can close out with zero further payment due if nothing else was charged.</t>
        </is>
      </c>
      <c r="G357" s="50" t="inlineStr">
        <is>
          <t>Owner,Reception,Nurse,Doctor,Billing</t>
        </is>
      </c>
      <c r="H357" s="50" t="inlineStr">
        <is>
          <t>Clinic</t>
        </is>
      </c>
      <c r="I357" s="50" t="inlineStr">
        <is>
          <t>Fullstack</t>
        </is>
      </c>
      <c r="J357" s="50" t="inlineStr">
        <is>
          <t>Must</t>
        </is>
      </c>
      <c r="K357" s="50" t="inlineStr">
        <is>
          <t>MVP</t>
        </is>
      </c>
      <c r="P357" s="50" t="inlineStr">
        <is>
          <t>NB-355</t>
        </is>
      </c>
      <c r="Q357" s="50" t="inlineStr">
        <is>
          <t>A department's flow must include exactly one consultation step; an unconfigured department falls back to today's vitals+consultation default; checkout() at an interim billing_pending stop does not mark the visit completed, only the terminal checkout_pending stop does; a second billing checkpoint appends to (not replaces) the existing invoice and its totals are recomputed from every line item on it; the terminal checkout succeeds with zero new line items when nothing further was charged.</t>
        </is>
      </c>
      <c r="R357" s="50" t="inlineStr">
        <is>
          <t>Done</t>
        </is>
      </c>
    </row>
    <row r="358">
      <c r="A358" s="50" t="inlineStr">
        <is>
          <t>NB-357</t>
        </is>
      </c>
      <c r="B358" s="50" t="inlineStr">
        <is>
          <t>E10 Queue, Scheduling &amp; Availability</t>
        </is>
      </c>
      <c r="C358" s="50" t="inlineStr">
        <is>
          <t>Queue</t>
        </is>
      </c>
      <c r="D358" s="50" t="inlineStr">
        <is>
          <t>Platform-authored workflow templates replace owner-designed visit flow</t>
        </is>
      </c>
      <c r="E358" s="50" t="inlineStr">
        <is>
          <t>Phase 1 of the Arogya Fabric restructuring: replaces NB-356's freely-reorderable owner flow editor (visit_flow_steps) with a platform-authored template library (workflow_definitions: clinic_walkin, clinic_walkin_with_billing, dental_procedure) plus a small set of template-defined toggles (currently vitals_enabled). An owner now picks a published template per department and flips its toggles instead of reordering stages directly. department_workflow_selection replaces visit_flow_steps as the per-department row; DepartmentService.resolveStatusSequence (the single source of truth QueueService and CheckoutService both call) is re-pointed to the new tables with its external behavior unchanged. Every already-configured department is backfilled onto the closest matching platform template (or a one-off tenant-scoped snapshot template if nothing matches) so no tenant's live behavior changes.</t>
        </is>
      </c>
      <c r="G358" s="50" t="inlineStr">
        <is>
          <t>Owner,Reception,Nurse,Doctor,Billing</t>
        </is>
      </c>
      <c r="H358" s="50" t="inlineStr">
        <is>
          <t>Clinic</t>
        </is>
      </c>
      <c r="I358" s="50" t="inlineStr">
        <is>
          <t>Fullstack</t>
        </is>
      </c>
      <c r="J358" s="50" t="inlineStr">
        <is>
          <t>Must</t>
        </is>
      </c>
      <c r="K358" s="50" t="inlineStr">
        <is>
          <t>MVP</t>
        </is>
      </c>
      <c r="P358" s="50" t="inlineStr">
        <is>
          <t>NB-356</t>
        </is>
      </c>
      <c r="Q358" s="50" t="inlineStr">
        <is>
          <t>GET /v1/departments/{id}/flow keeps returning the resolved, ordered step list unchanged for consult/checkout/nursing pages; an unconfigured department still falls back to vitals+consultation; POST /v1/departments/{id}/workflow accepts only a published templateCode plus toggles the chosen template defines, rejecting an unknown template code or a toggle the template does not define; the general-clinic and dental-clinic examples from NB-355/356 resolve identically when configured via clinic_walkin_with_billing and dental_procedure; the V40 migration backfill preserves every existing department's exact resolved sequence.</t>
        </is>
      </c>
      <c r="R358" s="50" t="inlineStr">
        <is>
          <t>Done</t>
        </is>
      </c>
    </row>
    <row r="359">
      <c r="A359" s="50" t="inlineStr">
        <is>
          <t>NB-358</t>
        </is>
      </c>
      <c r="B359" s="50" t="inlineStr">
        <is>
          <t>E01 Foundation &amp; Architecture</t>
        </is>
      </c>
      <c r="C359" s="50" t="inlineStr">
        <is>
          <t>Architecture</t>
        </is>
      </c>
      <c r="D359" s="50" t="inlineStr">
        <is>
          <t>Org hierarchy + commercial axis: additive schema (Arogya Fabric Phase 2)</t>
        </is>
      </c>
      <c r="E359" s="50" t="inlineStr">
        <is>
          <t>Phase 2 of the Arogya Fabric restructuring: additive-only schema from the architecture doc's org hierarchy and commercial axis (S6.3), confirmed against the current model (owners=L1 Tenant, brands=L2 Brand, tenants=L3 Facility, departments=L4 Department -- no isolation-grain change). Adds tenants.facility_type (clinic/single_specialty/multi_specialty) and tenants.billing_mode (defaults to per_department, matching NB-356's actual live checkout behaviour rather than the doc's stated consolidated default); departments.kind and specialty_code; new tenant-scoped, RLS-isolated service_points (L5) and invoice_series tables; new legal_entities/tax_registrations tables scoped by owner_id with no RLS of their own, matching the existing owners/brands precedent (V6). No application code reads any of this yet -- schema only, ahead of the feature that will need it.</t>
        </is>
      </c>
      <c r="G359" s="50" t="inlineStr">
        <is>
          <t>Platform,Owner</t>
        </is>
      </c>
      <c r="H359" s="50" t="inlineStr">
        <is>
          <t>Shared</t>
        </is>
      </c>
      <c r="I359" s="50" t="inlineStr">
        <is>
          <t>Architecture</t>
        </is>
      </c>
      <c r="J359" s="50" t="inlineStr">
        <is>
          <t>Should</t>
        </is>
      </c>
      <c r="K359" s="50" t="inlineStr">
        <is>
          <t>Post-MVP</t>
        </is>
      </c>
      <c r="P359" s="50" t="inlineStr">
        <is>
          <t>NB-357</t>
        </is>
      </c>
      <c r="Q359" s="50" t="inlineStr">
        <is>
          <t>Every already-provisioned tenant defaults to facility_type=clinic, billing_mode=per_department, and its default department to kind=clinical after the migration; service_points and invoice_series rows are only visible within the tenant session that created them (RLS), verified by OrgHierarchySchemaTest; legal_entities/tax_registrations/invoice_series form the doc's Legal Entity -&gt; Tax Registration -&gt; Invoice Series chain with a facility able to reference a tax registration via tenants.tax_registration_id.</t>
        </is>
      </c>
      <c r="R359" s="50" t="inlineStr">
        <is>
          <t>Done</t>
        </is>
      </c>
    </row>
    <row r="360">
      <c r="A360" s="50" t="inlineStr">
        <is>
          <t>NB-359</t>
        </is>
      </c>
      <c r="B360" s="50" t="inlineStr">
        <is>
          <t>E01 Foundation &amp; Architecture</t>
        </is>
      </c>
      <c r="C360" s="50" t="inlineStr">
        <is>
          <t>Architecture</t>
        </is>
      </c>
      <c r="D360" s="50" t="inlineStr">
        <is>
          <t>Cross-facility data visibility: activate the dormant accessible_tenant_ids GUC (Arogya Fabric Phase 3)</t>
        </is>
      </c>
      <c r="E360" s="50" t="inlineStr">
        <is>
          <t>Phase 3 of the Arogya Fabric restructuring: adds brands.data_visibility_scope (FACILITY default / BRAND / TENANT, the doc's S6.3 brand-visibility model) and wires TenantContext.set() -- called on every service method before any RLS-protected query -- to compute app.accessible_tenant_ids fresh from the active tenant's brand scope on every call. Every tenant_isolation policy V6 already patched with the OR tenant_id::text = ANY(accessible_tenant_ids) clause picks this up with zero further changes. FACILITY scope (the default, and any tenant with no brand) resolves to no siblings at all, so this is a no-op for every tenant today; no UI or endpoint yet lets an owner change the scope.</t>
        </is>
      </c>
      <c r="G360" s="50" t="inlineStr">
        <is>
          <t>Platform,Owner</t>
        </is>
      </c>
      <c r="H360" s="50" t="inlineStr">
        <is>
          <t>Shared</t>
        </is>
      </c>
      <c r="I360" s="50" t="inlineStr">
        <is>
          <t>Architecture</t>
        </is>
      </c>
      <c r="J360" s="50" t="inlineStr">
        <is>
          <t>Should</t>
        </is>
      </c>
      <c r="K360" s="50" t="inlineStr">
        <is>
          <t>Post-MVP</t>
        </is>
      </c>
      <c r="P360" s="50" t="inlineStr">
        <is>
          <t>NB-358</t>
        </is>
      </c>
      <c r="Q360" s="50" t="inlineStr">
        <is>
          <t>A tenant with no brand, or a brand at the default FACILITY scope, sees exactly the same rows as before this change on every V6-patched table; a brand set to BRAND scope makes every sibling facility under that brand mutually visible on those tables; a brand set to TENANT scope extends that to every facility across every brand of the same owner; an unrelated brand under the same or a different owner never leaks in; a scope change takes effect on the very next request with no session/cache invalidation needed, verified end-to-end by CrossFacilityVisibilityTest.</t>
        </is>
      </c>
      <c r="R360" s="50" t="inlineStr">
        <is>
          <t>Done</t>
        </is>
      </c>
    </row>
    <row r="361">
      <c r="A361" t="inlineStr">
        <is>
          <t>NB-360</t>
        </is>
      </c>
      <c r="B361" t="inlineStr">
        <is>
          <t>E10 Queue, Scheduling &amp; Availability</t>
        </is>
      </c>
      <c r="C361" t="inlineStr">
        <is>
          <t>Queue</t>
        </is>
      </c>
      <c r="D361" t="inlineStr">
        <is>
          <t>Encounter identity + fixed stage vocabulary on queue_entries (Arogya Fabric Phase 4)</t>
        </is>
      </c>
      <c r="E361" t="inlineStr">
        <is>
          <t>Phase 4 of the Arogya Fabric restructuring: begins reconciling queue_entries toward the architecture doc's ENCOUNTER/ENCOUNTER_SEGMENT model (S6.5) without a physical table split -- queue_entries is FK-referenced by clinical_notes, invoices, prescriptions and procedure_orders (V19-V29), so splitting it now would be a large, risky rewrite for a doc-fidelity win nothing built so far needs. Instead queue_entries stays one row per department leg (an ENCOUNTER_SEGMENT) and gains: encounter_id (self-referencing, shared by every leg of one visit, defaulted by a BEFORE INSERT trigger so no Java call site can forget it), class (ambulatory/procedure/teleconsult/inpatient, always ambulatory today), current_stage (the doc's fixed S9.1 stage vocabulary, computed from status by a SQL function + trigger so dashboards can key off a stable set of stages regardless of a department's configured step names), and workflow_definition_id (the platform template governing this leg, resolved from department_workflow_selection at insert). All three triggers/functions are the single source of truth -- no Java-side duplicate of the status-to-stage mapping.</t>
        </is>
      </c>
      <c r="G361" t="inlineStr">
        <is>
          <t>Owner,Reception,Nurse,Doctor,Billing</t>
        </is>
      </c>
      <c r="H361" t="inlineStr">
        <is>
          <t>Clinic</t>
        </is>
      </c>
      <c r="I361" t="inlineStr">
        <is>
          <t>Fullstack</t>
        </is>
      </c>
      <c r="J361" t="inlineStr">
        <is>
          <t>Should</t>
        </is>
      </c>
      <c r="K361" t="inlineStr">
        <is>
          <t>Post-MVP</t>
        </is>
      </c>
      <c r="P361" t="inlineStr">
        <is>
          <t>NB-359</t>
        </is>
      </c>
      <c r="Q361" t="inlineStr">
        <is>
          <t>A fresh check-in gets encounter_id equal to its own id, class=ambulatory, and current_stage=CHECKED_IN; a transfer propagates the original encounter_id onto the new leg and the closed leg's current_stage becomes COMPLETED; every subsequent status PATCH keeps current_stage in sync automatically; workflow_definition_id is null for an unconfigured department and set to the selected template once one is chosen; every existing row is correctly backfilled by the migration.</t>
        </is>
      </c>
      <c r="R361" t="inlineStr">
        <is>
          <t>Done</t>
        </is>
      </c>
    </row>
  </sheetData>
  <autoFilter ref="A1:S350"/>
  <conditionalFormatting sqref="R2:R350">
    <cfRule type="cellIs" rank="0" priority="2" equalAverage="0" operator="equal" aboveAverage="0" dxfId="7" text="" percent="0" bottom="0">
      <formula>"Done"</formula>
    </cfRule>
    <cfRule type="cellIs" rank="0" priority="3" equalAverage="0" operator="equal" aboveAverage="0" dxfId="8" text="" percent="0" bottom="0">
      <formula>"Blocked"</formula>
    </cfRule>
  </conditionalFormatting>
  <conditionalFormatting sqref="J2:J350">
    <cfRule type="cellIs" rank="0" priority="4" equalAverage="0" operator="equal" aboveAverage="0" dxfId="9" text="" percent="0" bottom="0">
      <formula>"Must"</formula>
    </cfRule>
  </conditionalFormatting>
  <conditionalFormatting sqref="K2:K350">
    <cfRule type="cellIs" rank="0" priority="5" equalAverage="0" operator="equal" aboveAverage="0" dxfId="10" text="" percent="0" bottom="0">
      <formula>"Phase 3"</formula>
    </cfRule>
    <cfRule type="cellIs" rank="0" priority="6" equalAverage="0" operator="equal" aboveAverage="0" dxfId="11" text="" percent="0" bottom="0">
      <formula>"Phase 2"</formula>
    </cfRule>
  </conditionalFormatting>
  <dataValidations count="3">
    <dataValidation sqref="R2:R352" showDropDown="0" showInputMessage="0" showErrorMessage="0" allowBlank="1" type="list" errorStyle="stop" operator="between">
      <formula1>"Not started,In progress,Blocked,In review,Done"</formula1>
      <formula2>0</formula2>
    </dataValidation>
    <dataValidation sqref="J2:J352" showDropDown="0" showInputMessage="0" showErrorMessage="0" allowBlank="1" type="list" errorStyle="stop" operator="between">
      <formula1>"Must,Should,Could"</formula1>
      <formula2>0</formula2>
    </dataValidation>
    <dataValidation sqref="K2:K352" showDropDown="0" showInputMessage="0" showErrorMessage="0" allowBlank="1" type="list" errorStyle="stop" operator="between">
      <formula1>"MVP,Phase 2,Phase 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9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50" min="1" max="1"/>
    <col width="10" customWidth="1" style="50" min="2" max="2"/>
    <col width="72" customWidth="1" style="50" min="3" max="3"/>
    <col width="20" customWidth="1" style="50" min="4" max="4"/>
    <col width="34" customWidth="1" style="50" min="5" max="5"/>
    <col width="12" customWidth="1" style="50" min="6" max="7"/>
  </cols>
  <sheetData>
    <row r="1" ht="19.7" customHeight="1" s="51">
      <c r="A1" s="52" t="inlineStr">
        <is>
          <t>Requirement coverage — every identifier found in the wireframe, and the tasks that deliver it</t>
        </is>
      </c>
    </row>
    <row r="2" ht="15" customHeight="1" s="51">
      <c r="A2" s="65" t="inlineStr">
        <is>
          <t>Extracted programmatically from the wireframe source, not transcribed by hand. Uncovered rows turn red — there must be none.</t>
        </is>
      </c>
    </row>
    <row r="4" ht="15" customHeight="1" s="51">
      <c r="A4" s="59" t="inlineStr">
        <is>
          <t>Requirement ID</t>
        </is>
      </c>
      <c r="B4" s="59" t="inlineStr">
        <is>
          <t>Area</t>
        </is>
      </c>
      <c r="C4" s="59" t="inlineStr">
        <is>
          <t>Description (from the wireframe)</t>
        </is>
      </c>
      <c r="D4" s="59" t="inlineStr">
        <is>
          <t>Work Starts In</t>
        </is>
      </c>
      <c r="E4" s="59" t="inlineStr">
        <is>
          <t>Tasks Delivering It</t>
        </is>
      </c>
      <c r="F4" s="59" t="inlineStr">
        <is>
          <t>Task Count</t>
        </is>
      </c>
      <c r="G4" s="59" t="inlineStr">
        <is>
          <t>Covered?</t>
        </is>
      </c>
    </row>
    <row r="5" ht="15" customHeight="1" s="51">
      <c r="A5" s="72" t="inlineStr">
        <is>
          <t>AGG-01</t>
        </is>
      </c>
      <c r="B5" s="72" t="inlineStr">
        <is>
          <t>Aggregator</t>
        </is>
      </c>
      <c r="C5" s="62" t="inlineStr">
        <is>
          <t>Nabd's shared number, invisible routing, verified-visit ratings</t>
        </is>
      </c>
      <c r="D5" s="66" t="inlineStr">
        <is>
          <t>MVP</t>
        </is>
      </c>
      <c r="E5" s="62" t="inlineStr">
        <is>
          <t>NB-221, NB-224, NB-288</t>
        </is>
      </c>
      <c r="F5" s="66" t="n">
        <v>3</v>
      </c>
      <c r="G5" s="66">
        <f>IF(F5&gt;0,"Yes","NO")</f>
        <v/>
      </c>
    </row>
    <row r="6" ht="15" customHeight="1" s="51">
      <c r="A6" s="73" t="inlineStr">
        <is>
          <t>AGG-02</t>
        </is>
      </c>
      <c r="B6" s="73" t="inlineStr">
        <is>
          <t>Aggregator</t>
        </is>
      </c>
      <c r="C6" s="68" t="inlineStr">
        <is>
          <t xml:space="preserve">This may be an emergency. Call </t>
        </is>
      </c>
      <c r="D6" s="69" t="inlineStr">
        <is>
          <t>Phase 2</t>
        </is>
      </c>
      <c r="E6" s="68" t="inlineStr">
        <is>
          <t>NB-222</t>
        </is>
      </c>
      <c r="F6" s="69" t="n">
        <v>1</v>
      </c>
      <c r="G6" s="69">
        <f>IF(F6&gt;0,"Yes","NO")</f>
        <v/>
      </c>
    </row>
    <row r="7" ht="15" customHeight="1" s="51">
      <c r="A7" s="72" t="inlineStr">
        <is>
          <t>AGG-03</t>
        </is>
      </c>
      <c r="B7" s="72" t="inlineStr">
        <is>
          <t>Aggregator</t>
        </is>
      </c>
      <c r="C7" s="62" t="n"/>
      <c r="D7" s="66" t="inlineStr">
        <is>
          <t>Phase 2</t>
        </is>
      </c>
      <c r="E7" s="62" t="inlineStr">
        <is>
          <t>NB-223</t>
        </is>
      </c>
      <c r="F7" s="66" t="n">
        <v>1</v>
      </c>
      <c r="G7" s="66">
        <f>IF(F7&gt;0,"Yes","NO")</f>
        <v/>
      </c>
    </row>
    <row r="8" ht="15" customHeight="1" s="51">
      <c r="A8" s="73" t="inlineStr">
        <is>
          <t>AGG-04</t>
        </is>
      </c>
      <c r="B8" s="73" t="inlineStr">
        <is>
          <t>Aggregator</t>
        </is>
      </c>
      <c r="C8" s="68" t="inlineStr">
        <is>
          <t>patient demand on the unified number vs actual coverage — the sales signal</t>
        </is>
      </c>
      <c r="D8" s="69" t="inlineStr">
        <is>
          <t>Phase 2</t>
        </is>
      </c>
      <c r="E8" s="68" t="inlineStr">
        <is>
          <t>NB-227, NB-270</t>
        </is>
      </c>
      <c r="F8" s="69" t="n">
        <v>2</v>
      </c>
      <c r="G8" s="69">
        <f>IF(F8&gt;0,"Yes","NO")</f>
        <v/>
      </c>
    </row>
    <row r="9" ht="23.85" customHeight="1" s="51">
      <c r="A9" s="72" t="inlineStr">
        <is>
          <t>AGG-05</t>
        </is>
      </c>
      <c r="B9" s="72" t="inlineStr">
        <is>
          <t>Aggregator</t>
        </is>
      </c>
      <c r="C9" s="62" t="inlineStr">
        <is>
          <t>A verified rating comes only from a completed, paid visit on the platform — fake reviews are impossible. Hidden until 10 ratings, showing \</t>
        </is>
      </c>
      <c r="D9" s="66" t="inlineStr">
        <is>
          <t>Phase 2</t>
        </is>
      </c>
      <c r="E9" s="62" t="inlineStr">
        <is>
          <t>NB-225, NB-226</t>
        </is>
      </c>
      <c r="F9" s="66" t="n">
        <v>2</v>
      </c>
      <c r="G9" s="66">
        <f>IF(F9&gt;0,"Yes","NO")</f>
        <v/>
      </c>
    </row>
    <row r="10" ht="15" customHeight="1" s="51">
      <c r="A10" s="73" t="inlineStr">
        <is>
          <t>AYU-02</t>
        </is>
      </c>
      <c r="B10" s="73" t="inlineStr">
        <is>
          <t>Ayurveda</t>
        </is>
      </c>
      <c r="C10" s="68" t="inlineStr">
        <is>
          <t>Panchakarma</t>
        </is>
      </c>
      <c r="D10" s="69" t="inlineStr">
        <is>
          <t>Phase 2</t>
        </is>
      </c>
      <c r="E10" s="68" t="inlineStr">
        <is>
          <t>NB-140</t>
        </is>
      </c>
      <c r="F10" s="69" t="n">
        <v>1</v>
      </c>
      <c r="G10" s="69">
        <f>IF(F10&gt;0,"Yes","NO")</f>
        <v/>
      </c>
    </row>
    <row r="11" ht="15" customHeight="1" s="51">
      <c r="A11" s="72" t="inlineStr">
        <is>
          <t>AYU-03</t>
        </is>
      </c>
      <c r="B11" s="72" t="inlineStr">
        <is>
          <t>Ayurveda</t>
        </is>
      </c>
      <c r="C11" s="62" t="inlineStr">
        <is>
          <t>Herbal formulation (Ayurveda)</t>
        </is>
      </c>
      <c r="D11" s="66" t="inlineStr">
        <is>
          <t>Phase 2</t>
        </is>
      </c>
      <c r="E11" s="62" t="inlineStr">
        <is>
          <t>NB-140</t>
        </is>
      </c>
      <c r="F11" s="66" t="n">
        <v>1</v>
      </c>
      <c r="G11" s="66">
        <f>IF(F11&gt;0,"Yes","NO")</f>
        <v/>
      </c>
    </row>
    <row r="12" ht="15" customHeight="1" s="51">
      <c r="A12" s="73" t="inlineStr">
        <is>
          <t>BIL-06</t>
        </is>
      </c>
      <c r="B12" s="73" t="inlineStr">
        <is>
          <t>Billing</t>
        </is>
      </c>
      <c r="C12" s="68" t="inlineStr">
        <is>
          <t>Dues list</t>
        </is>
      </c>
      <c r="D12" s="69" t="inlineStr">
        <is>
          <t>MVP</t>
        </is>
      </c>
      <c r="E12" s="68" t="inlineStr">
        <is>
          <t>NB-171, NB-233</t>
        </is>
      </c>
      <c r="F12" s="69" t="n">
        <v>2</v>
      </c>
      <c r="G12" s="69">
        <f>IF(F12&gt;0,"Yes","NO")</f>
        <v/>
      </c>
    </row>
    <row r="13" ht="15" customHeight="1" s="51">
      <c r="A13" s="72" t="inlineStr">
        <is>
          <t>BIL-07</t>
        </is>
      </c>
      <c r="B13" s="72" t="inlineStr">
        <is>
          <t>Billing</t>
        </is>
      </c>
      <c r="C13" s="62" t="inlineStr">
        <is>
          <t>Price transparency &amp; estimates</t>
        </is>
      </c>
      <c r="D13" s="66" t="inlineStr">
        <is>
          <t>MVP</t>
        </is>
      </c>
      <c r="E13" s="62" t="inlineStr">
        <is>
          <t>NB-126, NB-170</t>
        </is>
      </c>
      <c r="F13" s="66" t="n">
        <v>2</v>
      </c>
      <c r="G13" s="66">
        <f>IF(F13&gt;0,"Yes","NO")</f>
        <v/>
      </c>
    </row>
    <row r="14" ht="15" customHeight="1" s="51">
      <c r="A14" s="73" t="inlineStr">
        <is>
          <t>BIL-11</t>
        </is>
      </c>
      <c r="B14" s="73" t="inlineStr">
        <is>
          <t>Billing</t>
        </is>
      </c>
      <c r="C14" s="68" t="inlineStr">
        <is>
          <t>Insurance claim export</t>
        </is>
      </c>
      <c r="D14" s="69" t="inlineStr">
        <is>
          <t>MVP</t>
        </is>
      </c>
      <c r="E14" s="68" t="inlineStr">
        <is>
          <t>NB-070, NB-175</t>
        </is>
      </c>
      <c r="F14" s="69" t="n">
        <v>2</v>
      </c>
      <c r="G14" s="69">
        <f>IF(F14&gt;0,"Yes","NO")</f>
        <v/>
      </c>
    </row>
    <row r="15" ht="15" customHeight="1" s="51">
      <c r="A15" s="72" t="inlineStr">
        <is>
          <t>CAD-01</t>
        </is>
      </c>
      <c r="B15" s="72" t="inlineStr">
        <is>
          <t>Setup</t>
        </is>
      </c>
      <c r="C15" s="62" t="inlineStr">
        <is>
          <t>Guided clinic setup wizard</t>
        </is>
      </c>
      <c r="D15" s="66" t="inlineStr">
        <is>
          <t>MVP</t>
        </is>
      </c>
      <c r="E15" s="62" t="inlineStr">
        <is>
          <t>NB-060, NB-069, NB-339</t>
        </is>
      </c>
      <c r="F15" s="66" t="n">
        <v>3</v>
      </c>
      <c r="G15" s="66">
        <f>IF(F15&gt;0,"Yes","NO")</f>
        <v/>
      </c>
    </row>
    <row r="16" ht="15" customHeight="1" s="51">
      <c r="A16" s="73" t="inlineStr">
        <is>
          <t>CAD-04</t>
        </is>
      </c>
      <c r="B16" s="73" t="inlineStr">
        <is>
          <t>Setup</t>
        </is>
      </c>
      <c r="C16" s="68" t="inlineStr">
        <is>
          <t>CAD-04 · 24 charge heads</t>
        </is>
      </c>
      <c r="D16" s="69" t="inlineStr">
        <is>
          <t>MVP</t>
        </is>
      </c>
      <c r="E16" s="68" t="inlineStr">
        <is>
          <t>NB-061</t>
        </is>
      </c>
      <c r="F16" s="69" t="n">
        <v>1</v>
      </c>
      <c r="G16" s="69">
        <f>IF(F16&gt;0,"Yes","NO")</f>
        <v/>
      </c>
    </row>
    <row r="17" ht="23.85" customHeight="1" s="51">
      <c r="A17" s="72" t="inlineStr">
        <is>
          <t>CAD-05</t>
        </is>
      </c>
      <c r="B17" s="72" t="inlineStr">
        <is>
          <t>Setup</t>
        </is>
      </c>
      <c r="C17" s="62" t="inlineStr">
        <is>
          <t>Schedule and calendar admin</t>
        </is>
      </c>
      <c r="D17" s="66" t="inlineStr">
        <is>
          <t>MVP</t>
        </is>
      </c>
      <c r="E17" s="62" t="inlineStr">
        <is>
          <t>NB-036, NB-064, NB-090, NB-091, NB-092</t>
        </is>
      </c>
      <c r="F17" s="66" t="n">
        <v>5</v>
      </c>
      <c r="G17" s="66">
        <f>IF(F17&gt;0,"Yes","NO")</f>
        <v/>
      </c>
    </row>
    <row r="18" ht="15" customHeight="1" s="51">
      <c r="A18" s="73" t="inlineStr">
        <is>
          <t>CAD-06</t>
        </is>
      </c>
      <c r="B18" s="73" t="inlineStr">
        <is>
          <t>Setup</t>
        </is>
      </c>
      <c r="C18" s="68" t="inlineStr">
        <is>
          <t>Simple policy settings</t>
        </is>
      </c>
      <c r="D18" s="69" t="inlineStr">
        <is>
          <t>MVP</t>
        </is>
      </c>
      <c r="E18" s="68" t="inlineStr">
        <is>
          <t>NB-062</t>
        </is>
      </c>
      <c r="F18" s="69" t="n">
        <v>1</v>
      </c>
      <c r="G18" s="69">
        <f>IF(F18&gt;0,"Yes","NO")</f>
        <v/>
      </c>
    </row>
    <row r="19" ht="23.85" customHeight="1" s="51">
      <c r="A19" s="72" t="inlineStr">
        <is>
          <t>CAD-07</t>
        </is>
      </c>
      <c r="B19" s="72" t="inlineStr">
        <is>
          <t>Setup</t>
        </is>
      </c>
      <c r="C19" s="62" t="inlineStr">
        <is>
          <t>WhatsApp number &amp; template health</t>
        </is>
      </c>
      <c r="D19" s="66" t="inlineStr">
        <is>
          <t>MVP</t>
        </is>
      </c>
      <c r="E19" s="62" t="inlineStr">
        <is>
          <t>NB-069, NB-188, NB-189, NB-190, NB-239</t>
        </is>
      </c>
      <c r="F19" s="66" t="n">
        <v>5</v>
      </c>
      <c r="G19" s="66">
        <f>IF(F19&gt;0,"Yes","NO")</f>
        <v/>
      </c>
    </row>
    <row r="20" ht="15" customHeight="1" s="51">
      <c r="A20" s="73" t="inlineStr">
        <is>
          <t>CAD-08</t>
        </is>
      </c>
      <c r="B20" s="73" t="inlineStr">
        <is>
          <t>Setup</t>
        </is>
      </c>
      <c r="C20" s="68" t="inlineStr">
        <is>
          <t>Consent &amp; privacy notice settings</t>
        </is>
      </c>
      <c r="D20" s="69" t="inlineStr">
        <is>
          <t>MVP</t>
        </is>
      </c>
      <c r="E20" s="68" t="inlineStr">
        <is>
          <t>NB-063, NB-240</t>
        </is>
      </c>
      <c r="F20" s="69" t="n">
        <v>2</v>
      </c>
      <c r="G20" s="69">
        <f>IF(F20&gt;0,"Yes","NO")</f>
        <v/>
      </c>
    </row>
    <row r="21" ht="15" customHeight="1" s="51">
      <c r="A21" s="72" t="inlineStr">
        <is>
          <t>CAD-09</t>
        </is>
      </c>
      <c r="B21" s="72" t="inlineStr">
        <is>
          <t>Setup</t>
        </is>
      </c>
      <c r="C21" s="62" t="inlineStr">
        <is>
          <t>Shift timings &amp; attendance (Phase 2)</t>
        </is>
      </c>
      <c r="D21" s="66" t="inlineStr">
        <is>
          <t>MVP</t>
        </is>
      </c>
      <c r="E21" s="62" t="inlineStr">
        <is>
          <t>NB-065, NB-092</t>
        </is>
      </c>
      <c r="F21" s="66" t="n">
        <v>2</v>
      </c>
      <c r="G21" s="66">
        <f>IF(F21&gt;0,"Yes","NO")</f>
        <v/>
      </c>
    </row>
    <row r="22" ht="15" customHeight="1" s="51">
      <c r="A22" s="73" t="inlineStr">
        <is>
          <t>CAD-10</t>
        </is>
      </c>
      <c r="B22" s="73" t="inlineStr">
        <is>
          <t>Setup</t>
        </is>
      </c>
      <c r="C22" s="68" t="inlineStr">
        <is>
          <t>Simple payroll export</t>
        </is>
      </c>
      <c r="D22" s="69" t="inlineStr">
        <is>
          <t>MVP</t>
        </is>
      </c>
      <c r="E22" s="68" t="inlineStr">
        <is>
          <t>NB-066</t>
        </is>
      </c>
      <c r="F22" s="69" t="n">
        <v>1</v>
      </c>
      <c r="G22" s="69">
        <f>IF(F22&gt;0,"Yes","NO")</f>
        <v/>
      </c>
    </row>
    <row r="23" ht="15" customHeight="1" s="51">
      <c r="A23" s="72" t="inlineStr">
        <is>
          <t>CAD-11</t>
        </is>
      </c>
      <c r="B23" s="72" t="inlineStr">
        <is>
          <t>Setup</t>
        </is>
      </c>
      <c r="C23" s="62" t="inlineStr">
        <is>
          <t>Pharmacy mode configuration</t>
        </is>
      </c>
      <c r="D23" s="66" t="inlineStr">
        <is>
          <t>MVP</t>
        </is>
      </c>
      <c r="E23" s="62" t="inlineStr">
        <is>
          <t>NB-177</t>
        </is>
      </c>
      <c r="F23" s="66" t="n">
        <v>1</v>
      </c>
      <c r="G23" s="66">
        <f>IF(F23&gt;0,"Yes","NO")</f>
        <v/>
      </c>
    </row>
    <row r="24" ht="15" customHeight="1" s="51">
      <c r="A24" s="73" t="inlineStr">
        <is>
          <t>CAD-12</t>
        </is>
      </c>
      <c r="B24" s="73" t="inlineStr">
        <is>
          <t>Setup</t>
        </is>
      </c>
      <c r="C24" s="68" t="inlineStr">
        <is>
          <t xml:space="preserve">font:600 10px/14px </t>
        </is>
      </c>
      <c r="D24" s="69" t="inlineStr">
        <is>
          <t>MVP</t>
        </is>
      </c>
      <c r="E24" s="68" t="inlineStr">
        <is>
          <t>NB-041, NB-045</t>
        </is>
      </c>
      <c r="F24" s="69" t="n">
        <v>2</v>
      </c>
      <c r="G24" s="69">
        <f>IF(F24&gt;0,"Yes","NO")</f>
        <v/>
      </c>
    </row>
    <row r="25" ht="23.85" customHeight="1" s="51">
      <c r="A25" s="72" t="inlineStr">
        <is>
          <t>CAD-13</t>
        </is>
      </c>
      <c r="B25" s="72" t="inlineStr">
        <is>
          <t>Setup</t>
        </is>
      </c>
      <c r="C25" s="62" t="inlineStr">
        <is>
          <t>SaaS subscription &amp; plan</t>
        </is>
      </c>
      <c r="D25" s="66" t="inlineStr">
        <is>
          <t>MVP</t>
        </is>
      </c>
      <c r="E25" s="62" t="inlineStr">
        <is>
          <t>NB-008, NB-067, NB-267, NB-269, NB-280</t>
        </is>
      </c>
      <c r="F25" s="66" t="n">
        <v>5</v>
      </c>
      <c r="G25" s="66">
        <f>IF(F25&gt;0,"Yes","NO")</f>
        <v/>
      </c>
    </row>
    <row r="26" ht="15" customHeight="1" s="51">
      <c r="A26" s="73" t="inlineStr">
        <is>
          <t>CEO-14</t>
        </is>
      </c>
      <c r="B26" s="73" t="inlineStr">
        <is>
          <t>Ruling</t>
        </is>
      </c>
      <c r="C26" s="68" t="inlineStr">
        <is>
          <t>Emergency interception</t>
        </is>
      </c>
      <c r="D26" s="69" t="inlineStr">
        <is>
          <t>Phase 2</t>
        </is>
      </c>
      <c r="E26" s="68" t="inlineStr">
        <is>
          <t>NB-217, NB-222, NB-225, NB-226</t>
        </is>
      </c>
      <c r="F26" s="69" t="n">
        <v>4</v>
      </c>
      <c r="G26" s="69">
        <f>IF(F26&gt;0,"Yes","NO")</f>
        <v/>
      </c>
    </row>
    <row r="27" ht="15" customHeight="1" s="51">
      <c r="A27" s="72" t="inlineStr">
        <is>
          <t>CEO-15</t>
        </is>
      </c>
      <c r="B27" s="72" t="inlineStr">
        <is>
          <t>Ruling</t>
        </is>
      </c>
      <c r="C27" s="62" t="inlineStr">
        <is>
          <t>a booking + check-in convenience plan — not a clinical care contract.</t>
        </is>
      </c>
      <c r="D27" s="66" t="inlineStr">
        <is>
          <t>Phase 3</t>
        </is>
      </c>
      <c r="E27" s="62" t="inlineStr">
        <is>
          <t>NB-088, NB-219</t>
        </is>
      </c>
      <c r="F27" s="66" t="n">
        <v>2</v>
      </c>
      <c r="G27" s="66">
        <f>IF(F27&gt;0,"Yes","NO")</f>
        <v/>
      </c>
    </row>
    <row r="28" ht="15" customHeight="1" s="51">
      <c r="A28" s="73" t="inlineStr">
        <is>
          <t>CEO-17</t>
        </is>
      </c>
      <c r="B28" s="73" t="inlineStr">
        <is>
          <t>Ruling</t>
        </is>
      </c>
      <c r="C28" s="68" t="inlineStr">
        <is>
          <t>Blocked — requires a plan and a signed digital DPA.</t>
        </is>
      </c>
      <c r="D28" s="69" t="inlineStr">
        <is>
          <t>MVP</t>
        </is>
      </c>
      <c r="E28" s="68" t="inlineStr">
        <is>
          <t>NB-242, NB-276</t>
        </is>
      </c>
      <c r="F28" s="69" t="n">
        <v>2</v>
      </c>
      <c r="G28" s="69">
        <f>IF(F28&gt;0,"Yes","NO")</f>
        <v/>
      </c>
    </row>
    <row r="29" ht="15" customHeight="1" s="51">
      <c r="A29" s="72" t="inlineStr">
        <is>
          <t>CEO-25</t>
        </is>
      </c>
      <c r="B29" s="72" t="inlineStr">
        <is>
          <t>Ruling</t>
        </is>
      </c>
      <c r="C29" s="62" t="inlineStr">
        <is>
          <t>capture-only, consent-worded for this purpose only, no monetisation</t>
        </is>
      </c>
      <c r="D29" s="66" t="inlineStr">
        <is>
          <t>MVP</t>
        </is>
      </c>
      <c r="E29" s="62" t="inlineStr">
        <is>
          <t>NB-185</t>
        </is>
      </c>
      <c r="F29" s="66" t="n">
        <v>1</v>
      </c>
      <c r="G29" s="66">
        <f>IF(F29&gt;0,"Yes","NO")</f>
        <v/>
      </c>
    </row>
    <row r="30" ht="15" customHeight="1" s="51">
      <c r="A30" s="73" t="inlineStr">
        <is>
          <t>CEO-27</t>
        </is>
      </c>
      <c r="B30" s="73" t="inlineStr">
        <is>
          <t>Ruling</t>
        </is>
      </c>
      <c r="C30" s="68" t="inlineStr">
        <is>
          <t>warning plus register — no hard block</t>
        </is>
      </c>
      <c r="D30" s="69" t="inlineStr">
        <is>
          <t>Phase 2</t>
        </is>
      </c>
      <c r="E30" s="68" t="inlineStr">
        <is>
          <t>NB-182</t>
        </is>
      </c>
      <c r="F30" s="69" t="n">
        <v>1</v>
      </c>
      <c r="G30" s="69">
        <f>IF(F30&gt;0,"Yes","NO")</f>
        <v/>
      </c>
    </row>
    <row r="31" ht="15" customHeight="1" s="51">
      <c r="A31" s="72" t="inlineStr">
        <is>
          <t>CGV-01</t>
        </is>
      </c>
      <c r="B31" s="72" t="inlineStr">
        <is>
          <t>Family</t>
        </is>
      </c>
      <c r="C31" s="62" t="inlineStr">
        <is>
          <t>One WhatsApp number, whole family</t>
        </is>
      </c>
      <c r="D31" s="66" t="inlineStr">
        <is>
          <t>MVP</t>
        </is>
      </c>
      <c r="E31" s="62" t="inlineStr">
        <is>
          <t>NB-080</t>
        </is>
      </c>
      <c r="F31" s="66" t="n">
        <v>1</v>
      </c>
      <c r="G31" s="66">
        <f>IF(F31&gt;0,"Yes","NO")</f>
        <v/>
      </c>
    </row>
    <row r="32" ht="15" customHeight="1" s="51">
      <c r="A32" s="73" t="inlineStr">
        <is>
          <t>CGV-02</t>
        </is>
      </c>
      <c r="B32" s="73" t="inlineStr">
        <is>
          <t>Family</t>
        </is>
      </c>
      <c r="C32" s="68" t="inlineStr">
        <is>
          <t>Add family member with consent capture</t>
        </is>
      </c>
      <c r="D32" s="69" t="inlineStr">
        <is>
          <t>MVP</t>
        </is>
      </c>
      <c r="E32" s="68" t="inlineStr">
        <is>
          <t>NB-081</t>
        </is>
      </c>
      <c r="F32" s="69" t="n">
        <v>1</v>
      </c>
      <c r="G32" s="69">
        <f>IF(F32&gt;0,"Yes","NO")</f>
        <v/>
      </c>
    </row>
    <row r="33" ht="15" customHeight="1" s="51">
      <c r="A33" s="72" t="inlineStr">
        <is>
          <t>CGV-03</t>
        </is>
      </c>
      <c r="B33" s="72" t="inlineStr">
        <is>
          <t>Family</t>
        </is>
      </c>
      <c r="C33" s="62" t="inlineStr">
        <is>
          <t>Minor &amp; guardian handling, age-18 handover</t>
        </is>
      </c>
      <c r="D33" s="66" t="inlineStr">
        <is>
          <t>MVP</t>
        </is>
      </c>
      <c r="E33" s="62" t="inlineStr">
        <is>
          <t>NB-082</t>
        </is>
      </c>
      <c r="F33" s="66" t="n">
        <v>1</v>
      </c>
      <c r="G33" s="66">
        <f>IF(F33&gt;0,"Yes","NO")</f>
        <v/>
      </c>
    </row>
    <row r="34" ht="15" customHeight="1" s="51">
      <c r="A34" s="73" t="inlineStr">
        <is>
          <t>CGV-04</t>
        </is>
      </c>
      <c r="B34" s="73" t="inlineStr">
        <is>
          <t>Family</t>
        </is>
      </c>
      <c r="C34" s="68" t="inlineStr">
        <is>
          <t>Proxy booking, check-in &amp; queue updates</t>
        </is>
      </c>
      <c r="D34" s="69" t="inlineStr">
        <is>
          <t>MVP</t>
        </is>
      </c>
      <c r="E34" s="68" t="inlineStr">
        <is>
          <t>NB-083, NB-321</t>
        </is>
      </c>
      <c r="F34" s="69" t="n">
        <v>2</v>
      </c>
      <c r="G34" s="69">
        <f>IF(F34&gt;0,"Yes","NO")</f>
        <v/>
      </c>
    </row>
    <row r="35" ht="15" customHeight="1" s="51">
      <c r="A35" s="72" t="inlineStr">
        <is>
          <t>CGV-05</t>
        </is>
      </c>
      <c r="B35" s="72" t="inlineStr">
        <is>
          <t>Family</t>
        </is>
      </c>
      <c r="C35" s="62" t="inlineStr">
        <is>
          <t>Dual delivery of visit instructions</t>
        </is>
      </c>
      <c r="D35" s="66" t="inlineStr">
        <is>
          <t>MVP</t>
        </is>
      </c>
      <c r="E35" s="62" t="inlineStr">
        <is>
          <t>NB-084</t>
        </is>
      </c>
      <c r="F35" s="66" t="n">
        <v>1</v>
      </c>
      <c r="G35" s="66">
        <f>IF(F35&gt;0,"Yes","NO")</f>
        <v/>
      </c>
    </row>
    <row r="36" ht="15" customHeight="1" s="51">
      <c r="A36" s="73" t="inlineStr">
        <is>
          <t>CGV-06</t>
        </is>
      </c>
      <c r="B36" s="73" t="inlineStr">
        <is>
          <t>Family</t>
        </is>
      </c>
      <c r="C36" s="68" t="inlineStr">
        <is>
          <t>Proxy revocation &amp; scope change</t>
        </is>
      </c>
      <c r="D36" s="69" t="inlineStr">
        <is>
          <t>MVP</t>
        </is>
      </c>
      <c r="E36" s="68" t="inlineStr">
        <is>
          <t>NB-085, NB-289</t>
        </is>
      </c>
      <c r="F36" s="69" t="n">
        <v>2</v>
      </c>
      <c r="G36" s="69">
        <f>IF(F36&gt;0,"Yes","NO")</f>
        <v/>
      </c>
    </row>
    <row r="37" ht="15" customHeight="1" s="51">
      <c r="A37" s="72" t="inlineStr">
        <is>
          <t>CGV-07</t>
        </is>
      </c>
      <c r="B37" s="72" t="inlineStr">
        <is>
          <t>Family</t>
        </is>
      </c>
      <c r="C37" s="62" t="inlineStr">
        <is>
          <t>Family appointment batching</t>
        </is>
      </c>
      <c r="D37" s="66" t="inlineStr">
        <is>
          <t>Phase 2</t>
        </is>
      </c>
      <c r="E37" s="62" t="inlineStr">
        <is>
          <t>NB-086</t>
        </is>
      </c>
      <c r="F37" s="66" t="n">
        <v>1</v>
      </c>
      <c r="G37" s="66">
        <f>IF(F37&gt;0,"Yes","NO")</f>
        <v/>
      </c>
    </row>
    <row r="38" ht="15" customHeight="1" s="51">
      <c r="A38" s="73" t="inlineStr">
        <is>
          <t>CGV-09</t>
        </is>
      </c>
      <c r="B38" s="73" t="inlineStr">
        <is>
          <t>Family</t>
        </is>
      </c>
      <c r="C38" s="68" t="inlineStr">
        <is>
          <t>Elderly-parent care alerts</t>
        </is>
      </c>
      <c r="D38" s="69" t="inlineStr">
        <is>
          <t>Phase 2</t>
        </is>
      </c>
      <c r="E38" s="68" t="inlineStr">
        <is>
          <t>NB-087</t>
        </is>
      </c>
      <c r="F38" s="69" t="n">
        <v>1</v>
      </c>
      <c r="G38" s="69">
        <f>IF(F38&gt;0,"Yes","NO")</f>
        <v/>
      </c>
    </row>
    <row r="39" ht="15" customHeight="1" s="51">
      <c r="A39" s="72" t="inlineStr">
        <is>
          <t>CGV-10</t>
        </is>
      </c>
      <c r="B39" s="72" t="inlineStr">
        <is>
          <t>Family</t>
        </is>
      </c>
      <c r="C39" s="62" t="inlineStr">
        <is>
          <t>Family plan / package sharing</t>
        </is>
      </c>
      <c r="D39" s="66" t="inlineStr">
        <is>
          <t>Phase 3</t>
        </is>
      </c>
      <c r="E39" s="62" t="inlineStr">
        <is>
          <t>NB-088, NB-219</t>
        </is>
      </c>
      <c r="F39" s="66" t="n">
        <v>2</v>
      </c>
      <c r="G39" s="66">
        <f>IF(F39&gt;0,"Yes","NO")</f>
        <v/>
      </c>
    </row>
    <row r="40" ht="15" customHeight="1" s="51">
      <c r="A40" s="73" t="inlineStr">
        <is>
          <t>CMP-01</t>
        </is>
      </c>
      <c r="B40" s="73" t="inlineStr">
        <is>
          <t>Compliance</t>
        </is>
      </c>
      <c r="C40" s="68" t="inlineStr">
        <is>
          <t>Consent &amp; notice templates</t>
        </is>
      </c>
      <c r="D40" s="69" t="inlineStr">
        <is>
          <t>MVP</t>
        </is>
      </c>
      <c r="E40" s="68" t="inlineStr">
        <is>
          <t>NB-240</t>
        </is>
      </c>
      <c r="F40" s="69" t="n">
        <v>1</v>
      </c>
      <c r="G40" s="69">
        <f>IF(F40&gt;0,"Yes","NO")</f>
        <v/>
      </c>
    </row>
    <row r="41" ht="15" customHeight="1" s="51">
      <c r="A41" s="72" t="inlineStr">
        <is>
          <t>CMP-02</t>
        </is>
      </c>
      <c r="B41" s="72" t="inlineStr">
        <is>
          <t>Compliance</t>
        </is>
      </c>
      <c r="C41" s="62" t="inlineStr">
        <is>
          <t>Consent as a hard gate (owner evidence)</t>
        </is>
      </c>
      <c r="D41" s="66" t="inlineStr">
        <is>
          <t>MVP</t>
        </is>
      </c>
      <c r="E41" s="62" t="inlineStr">
        <is>
          <t>NB-053, NB-196, NB-241</t>
        </is>
      </c>
      <c r="F41" s="66" t="n">
        <v>3</v>
      </c>
      <c r="G41" s="66">
        <f>IF(F41&gt;0,"Yes","NO")</f>
        <v/>
      </c>
    </row>
    <row r="42" ht="23.85" customHeight="1" s="51">
      <c r="A42" s="73" t="inlineStr">
        <is>
          <t>CMP-03</t>
        </is>
      </c>
      <c r="B42" s="73" t="inlineStr">
        <is>
          <t>Compliance</t>
        </is>
      </c>
      <c r="C42" s="68" t="inlineStr">
        <is>
          <t>Patient rights self-service &amp; queue</t>
        </is>
      </c>
      <c r="D42" s="69" t="inlineStr">
        <is>
          <t>MVP</t>
        </is>
      </c>
      <c r="E42" s="68" t="inlineStr">
        <is>
          <t>NB-078, NB-214, NB-243, NB-244, NB-253</t>
        </is>
      </c>
      <c r="F42" s="69" t="n">
        <v>5</v>
      </c>
      <c r="G42" s="69">
        <f>IF(F42&gt;0,"Yes","NO")</f>
        <v/>
      </c>
    </row>
    <row r="43" ht="15" customHeight="1" s="51">
      <c r="A43" s="72" t="inlineStr">
        <is>
          <t>CMP-04</t>
        </is>
      </c>
      <c r="B43" s="72" t="inlineStr">
        <is>
          <t>Compliance</t>
        </is>
      </c>
      <c r="C43" s="62" t="inlineStr">
        <is>
          <t>Child &amp; guardian protection</t>
        </is>
      </c>
      <c r="D43" s="66" t="inlineStr">
        <is>
          <t>MVP</t>
        </is>
      </c>
      <c r="E43" s="62" t="inlineStr">
        <is>
          <t>NB-082, NB-089, NB-199, NB-252</t>
        </is>
      </c>
      <c r="F43" s="66" t="n">
        <v>4</v>
      </c>
      <c r="G43" s="66">
        <f>IF(F43&gt;0,"Yes","NO")</f>
        <v/>
      </c>
    </row>
    <row r="44" ht="15" customHeight="1" s="51">
      <c r="A44" s="73" t="inlineStr">
        <is>
          <t>CMP-05</t>
        </is>
      </c>
      <c r="B44" s="73" t="inlineStr">
        <is>
          <t>Compliance</t>
        </is>
      </c>
      <c r="C44" s="68" t="inlineStr">
        <is>
          <t>Retention auto-rules</t>
        </is>
      </c>
      <c r="D44" s="69" t="inlineStr">
        <is>
          <t>MVP</t>
        </is>
      </c>
      <c r="E44" s="68" t="inlineStr">
        <is>
          <t>NB-245, NB-308</t>
        </is>
      </c>
      <c r="F44" s="69" t="n">
        <v>2</v>
      </c>
      <c r="G44" s="69">
        <f>IF(F44&gt;0,"Yes","NO")</f>
        <v/>
      </c>
    </row>
    <row r="45" ht="15" customHeight="1" s="51">
      <c r="A45" s="72" t="inlineStr">
        <is>
          <t>CMP-06</t>
        </is>
      </c>
      <c r="B45" s="72" t="inlineStr">
        <is>
          <t>Compliance</t>
        </is>
      </c>
      <c r="C45" s="62" t="inlineStr">
        <is>
          <t>Breach-notification runbook</t>
        </is>
      </c>
      <c r="D45" s="66" t="inlineStr">
        <is>
          <t>MVP</t>
        </is>
      </c>
      <c r="E45" s="62" t="inlineStr">
        <is>
          <t>NB-248</t>
        </is>
      </c>
      <c r="F45" s="66" t="n">
        <v>1</v>
      </c>
      <c r="G45" s="66">
        <f>IF(F45&gt;0,"Yes","NO")</f>
        <v/>
      </c>
    </row>
    <row r="46" ht="15" customHeight="1" s="51">
      <c r="A46" s="73" t="inlineStr">
        <is>
          <t>CMP-07</t>
        </is>
      </c>
      <c r="B46" s="73" t="inlineStr">
        <is>
          <t>Compliance</t>
        </is>
      </c>
      <c r="C46" s="68" t="inlineStr">
        <is>
          <t>India messaging compliance (DLT)</t>
        </is>
      </c>
      <c r="D46" s="69" t="inlineStr">
        <is>
          <t>MVP</t>
        </is>
      </c>
      <c r="E46" s="68" t="inlineStr">
        <is>
          <t>NB-018, NB-191, NB-194</t>
        </is>
      </c>
      <c r="F46" s="69" t="n">
        <v>3</v>
      </c>
      <c r="G46" s="69">
        <f>IF(F46&gt;0,"Yes","NO")</f>
        <v/>
      </c>
    </row>
    <row r="47" ht="15" customHeight="1" s="51">
      <c r="A47" s="72" t="inlineStr">
        <is>
          <t>CMP-11</t>
        </is>
      </c>
      <c r="B47" s="72" t="inlineStr">
        <is>
          <t>Compliance</t>
        </is>
      </c>
      <c r="C47" s="62" t="inlineStr">
        <is>
          <t>Licence &amp; credential expiry tracker</t>
        </is>
      </c>
      <c r="D47" s="66" t="inlineStr">
        <is>
          <t>MVP</t>
        </is>
      </c>
      <c r="E47" s="62" t="inlineStr">
        <is>
          <t>NB-070, NB-175, NB-250</t>
        </is>
      </c>
      <c r="F47" s="66" t="n">
        <v>3</v>
      </c>
      <c r="G47" s="66">
        <f>IF(F47&gt;0,"Yes","NO")</f>
        <v/>
      </c>
    </row>
    <row r="48" ht="15" customHeight="1" s="51">
      <c r="A48" s="73" t="inlineStr">
        <is>
          <t>CMP-12</t>
        </is>
      </c>
      <c r="B48" s="73" t="inlineStr">
        <is>
          <t>Compliance</t>
        </is>
      </c>
      <c r="C48" s="68" t="inlineStr">
        <is>
          <t>Compliance health card + grievance setup</t>
        </is>
      </c>
      <c r="D48" s="69" t="inlineStr">
        <is>
          <t>Phase 2</t>
        </is>
      </c>
      <c r="E48" s="68" t="inlineStr">
        <is>
          <t>NB-251</t>
        </is>
      </c>
      <c r="F48" s="69" t="n">
        <v>1</v>
      </c>
      <c r="G48" s="69">
        <f>IF(F48&gt;0,"Yes","NO")</f>
        <v/>
      </c>
    </row>
    <row r="49" ht="15" customHeight="1" s="51">
      <c r="A49" s="72" t="inlineStr">
        <is>
          <t>DENT-01</t>
        </is>
      </c>
      <c r="B49" s="72" t="inlineStr">
        <is>
          <t>Dental</t>
        </is>
      </c>
      <c r="C49" s="62" t="inlineStr">
        <is>
          <t>chosen once, clinic-wide. Storage always stays keyed by FDI — switching loses no data.</t>
        </is>
      </c>
      <c r="D49" s="66" t="inlineStr">
        <is>
          <t>MVP</t>
        </is>
      </c>
      <c r="E49" s="62" t="inlineStr">
        <is>
          <t>NB-032, NB-120, NB-122, NB-319</t>
        </is>
      </c>
      <c r="F49" s="66" t="n">
        <v>4</v>
      </c>
      <c r="G49" s="66">
        <f>IF(F49&gt;0,"Yes","NO")</f>
        <v/>
      </c>
    </row>
    <row r="50" ht="15" customHeight="1" s="51">
      <c r="A50" s="73" t="inlineStr">
        <is>
          <t>DENT-02</t>
        </is>
      </c>
      <c r="B50" s="73" t="inlineStr">
        <is>
          <t>Dental</t>
        </is>
      </c>
      <c r="C50" s="68" t="inlineStr">
        <is>
          <t>Radiograph library — tooth-linked, reachable from the chart</t>
        </is>
      </c>
      <c r="D50" s="69" t="inlineStr">
        <is>
          <t>MVP</t>
        </is>
      </c>
      <c r="E50" s="68" t="inlineStr">
        <is>
          <t>NB-123</t>
        </is>
      </c>
      <c r="F50" s="69" t="n">
        <v>1</v>
      </c>
      <c r="G50" s="69">
        <f>IF(F50&gt;0,"Yes","NO")</f>
        <v/>
      </c>
    </row>
    <row r="51" ht="15" customHeight="1" s="51">
      <c r="A51" s="72" t="inlineStr">
        <is>
          <t>DENT-05</t>
        </is>
      </c>
      <c r="B51" s="72" t="inlineStr">
        <is>
          <t>Dental</t>
        </is>
      </c>
      <c r="C51" s="62" t="inlineStr">
        <is>
          <t>dashed outline + superscript = stage order in an active plan (form, not a new colour)</t>
        </is>
      </c>
      <c r="D51" s="66" t="inlineStr">
        <is>
          <t>MVP</t>
        </is>
      </c>
      <c r="E51" s="62" t="inlineStr">
        <is>
          <t>NB-124</t>
        </is>
      </c>
      <c r="F51" s="66" t="n">
        <v>1</v>
      </c>
      <c r="G51" s="66">
        <f>IF(F51&gt;0,"Yes","NO")</f>
        <v/>
      </c>
    </row>
    <row r="52" ht="15" customHeight="1" s="51">
      <c r="A52" s="73" t="inlineStr">
        <is>
          <t>DENT-06</t>
        </is>
      </c>
      <c r="B52" s="73" t="inlineStr">
        <is>
          <t>Dental</t>
        </is>
      </c>
      <c r="C52" s="68" t="inlineStr">
        <is>
          <t>subscription-controlled — historical data stays readable when a trial ends</t>
        </is>
      </c>
      <c r="D52" s="69" t="inlineStr">
        <is>
          <t>MVP</t>
        </is>
      </c>
      <c r="E52" s="68" t="inlineStr">
        <is>
          <t>NB-058, NB-116, NB-121, NB-125</t>
        </is>
      </c>
      <c r="F52" s="69" t="n">
        <v>4</v>
      </c>
      <c r="G52" s="69">
        <f>IF(F52&gt;0,"Yes","NO")</f>
        <v/>
      </c>
    </row>
    <row r="53" ht="15" customHeight="1" s="51">
      <c r="A53" s="72" t="inlineStr">
        <is>
          <t>DENT-07</t>
        </is>
      </c>
      <c r="B53" s="72" t="inlineStr">
        <is>
          <t>Dental</t>
        </is>
      </c>
      <c r="C53" s="62" t="inlineStr">
        <is>
          <t>subscription-controlled — historical data stays readable when a trial ends</t>
        </is>
      </c>
      <c r="D53" s="66" t="inlineStr">
        <is>
          <t>MVP</t>
        </is>
      </c>
      <c r="E53" s="62" t="inlineStr">
        <is>
          <t>NB-058, NB-121, NB-126</t>
        </is>
      </c>
      <c r="F53" s="66" t="n">
        <v>3</v>
      </c>
      <c r="G53" s="66">
        <f>IF(F53&gt;0,"Yes","NO")</f>
        <v/>
      </c>
    </row>
    <row r="54" ht="23.85" customHeight="1" s="51">
      <c r="A54" s="73" t="inlineStr">
        <is>
          <t>DENT-08</t>
        </is>
      </c>
      <c r="B54" s="73" t="inlineStr">
        <is>
          <t>Dental</t>
        </is>
      </c>
      <c r="C54" s="68" t="inlineStr">
        <is>
          <t>everything ever done to this tooth — procedures, radiographs, medicines, materials — one tap from the chart</t>
        </is>
      </c>
      <c r="D54" s="69" t="inlineStr">
        <is>
          <t>Phase 3</t>
        </is>
      </c>
      <c r="E54" s="68" t="inlineStr">
        <is>
          <t>NB-127</t>
        </is>
      </c>
      <c r="F54" s="69" t="n">
        <v>1</v>
      </c>
      <c r="G54" s="69">
        <f>IF(F54&gt;0,"Yes","NO")</f>
        <v/>
      </c>
    </row>
    <row r="55" ht="23.85" customHeight="1" s="51">
      <c r="A55" s="72" t="inlineStr">
        <is>
          <t>DERM-04</t>
        </is>
      </c>
      <c r="B55" s="72" t="inlineStr">
        <is>
          <t>Derm</t>
        </is>
      </c>
      <c r="C55" s="62" t="inlineStr">
        <is>
          <t>subscription-controlled</t>
        </is>
      </c>
      <c r="D55" s="66" t="inlineStr">
        <is>
          <t>MVP</t>
        </is>
      </c>
      <c r="E55" s="62" t="inlineStr">
        <is>
          <t>NB-032, NB-058, NB-121, NB-128, NB-129, NB-319</t>
        </is>
      </c>
      <c r="F55" s="66" t="n">
        <v>6</v>
      </c>
      <c r="G55" s="66">
        <f>IF(F55&gt;0,"Yes","NO")</f>
        <v/>
      </c>
    </row>
    <row r="56" ht="15" customHeight="1" s="51">
      <c r="A56" s="73" t="inlineStr">
        <is>
          <t>DERM-05</t>
        </is>
      </c>
      <c r="B56" s="73" t="inlineStr">
        <is>
          <t>Derm</t>
        </is>
      </c>
      <c r="C56" s="68" t="inlineStr">
        <is>
          <t>Allergy hard-warning with mandatory override reason</t>
        </is>
      </c>
      <c r="D56" s="69" t="inlineStr">
        <is>
          <t>MVP</t>
        </is>
      </c>
      <c r="E56" s="68" t="inlineStr">
        <is>
          <t>NB-107, NB-108, NB-321</t>
        </is>
      </c>
      <c r="F56" s="69" t="n">
        <v>3</v>
      </c>
      <c r="G56" s="69">
        <f>IF(F56&gt;0,"Yes","NO")</f>
        <v/>
      </c>
    </row>
    <row r="57" ht="15" customHeight="1" s="51">
      <c r="A57" s="72" t="inlineStr">
        <is>
          <t>DERM-06</t>
        </is>
      </c>
      <c r="B57" s="72" t="inlineStr">
        <is>
          <t>Derm</t>
        </is>
      </c>
      <c r="C57" s="62" t="inlineStr">
        <is>
          <t>Photo follow-up reminders</t>
        </is>
      </c>
      <c r="D57" s="66" t="inlineStr">
        <is>
          <t>Phase 2</t>
        </is>
      </c>
      <c r="E57" s="62" t="inlineStr">
        <is>
          <t>NB-130</t>
        </is>
      </c>
      <c r="F57" s="66" t="n">
        <v>1</v>
      </c>
      <c r="G57" s="66">
        <f>IF(F57&gt;0,"Yes","NO")</f>
        <v/>
      </c>
    </row>
    <row r="58" ht="15" customHeight="1" s="51">
      <c r="A58" s="73" t="inlineStr">
        <is>
          <t>DERM-07</t>
        </is>
      </c>
      <c r="B58" s="73" t="inlineStr">
        <is>
          <t>Derm</t>
        </is>
      </c>
      <c r="C58" s="68" t="inlineStr">
        <is>
          <t>subscription-controlled</t>
        </is>
      </c>
      <c r="D58" s="69" t="inlineStr">
        <is>
          <t>MVP</t>
        </is>
      </c>
      <c r="E58" s="68" t="inlineStr">
        <is>
          <t>NB-058, NB-121</t>
        </is>
      </c>
      <c r="F58" s="69" t="n">
        <v>2</v>
      </c>
      <c r="G58" s="69">
        <f>IF(F58&gt;0,"Yes","NO")</f>
        <v/>
      </c>
    </row>
    <row r="59" ht="15" customHeight="1" s="51">
      <c r="A59" s="72" t="inlineStr">
        <is>
          <t>DOC-01</t>
        </is>
      </c>
      <c r="B59" s="72" t="inlineStr">
        <is>
          <t>Doctor</t>
        </is>
      </c>
      <c r="C59" s="62" t="inlineStr">
        <is>
          <t>session strip — status before any detail</t>
        </is>
      </c>
      <c r="D59" s="66" t="inlineStr">
        <is>
          <t>MVP</t>
        </is>
      </c>
      <c r="E59" s="62" t="inlineStr">
        <is>
          <t>NB-102</t>
        </is>
      </c>
      <c r="F59" s="66" t="n">
        <v>1</v>
      </c>
      <c r="G59" s="66">
        <f>IF(F59&gt;0,"Yes","NO")</f>
        <v/>
      </c>
    </row>
    <row r="60" ht="15" customHeight="1" s="51">
      <c r="A60" s="73" t="inlineStr">
        <is>
          <t>DOC-02</t>
        </is>
      </c>
      <c r="B60" s="73" t="inlineStr">
        <is>
          <t>Doctor</t>
        </is>
      </c>
      <c r="C60" s="68" t="inlineStr">
        <is>
          <t>Previous medicines &amp; treatment — read before prescribing</t>
        </is>
      </c>
      <c r="D60" s="69" t="inlineStr">
        <is>
          <t>MVP</t>
        </is>
      </c>
      <c r="E60" s="68" t="inlineStr">
        <is>
          <t>NB-105</t>
        </is>
      </c>
      <c r="F60" s="69" t="n">
        <v>1</v>
      </c>
      <c r="G60" s="69">
        <f>IF(F60&gt;0,"Yes","NO")</f>
        <v/>
      </c>
    </row>
    <row r="61" ht="15" customHeight="1" s="51">
      <c r="A61" s="72" t="inlineStr">
        <is>
          <t>DOC-03</t>
        </is>
      </c>
      <c r="B61" s="72" t="inlineStr">
        <is>
          <t>Doctor</t>
        </is>
      </c>
      <c r="C61" s="62" t="inlineStr">
        <is>
          <t>Availability, leave &amp; block management</t>
        </is>
      </c>
      <c r="D61" s="66" t="inlineStr">
        <is>
          <t>MVP</t>
        </is>
      </c>
      <c r="E61" s="62" t="inlineStr">
        <is>
          <t>NB-091, NB-155, NB-250</t>
        </is>
      </c>
      <c r="F61" s="66" t="n">
        <v>3</v>
      </c>
      <c r="G61" s="66">
        <f>IF(F61&gt;0,"Yes","NO")</f>
        <v/>
      </c>
    </row>
    <row r="62" ht="15" customHeight="1" s="51">
      <c r="A62" s="73" t="inlineStr">
        <is>
          <t>DOC-05</t>
        </is>
      </c>
      <c r="B62" s="73" t="inlineStr">
        <is>
          <t>Doctor</t>
        </is>
      </c>
      <c r="C62" s="68" t="inlineStr">
        <is>
          <t>Clinical note templates</t>
        </is>
      </c>
      <c r="D62" s="69" t="inlineStr">
        <is>
          <t>MVP</t>
        </is>
      </c>
      <c r="E62" s="68" t="inlineStr">
        <is>
          <t>NB-103</t>
        </is>
      </c>
      <c r="F62" s="69" t="n">
        <v>1</v>
      </c>
      <c r="G62" s="69">
        <f>IF(F62&gt;0,"Yes","NO")</f>
        <v/>
      </c>
    </row>
    <row r="63" ht="15" customHeight="1" s="51">
      <c r="A63" s="72" t="inlineStr">
        <is>
          <t>DOC-06</t>
        </is>
      </c>
      <c r="B63" s="72" t="inlineStr">
        <is>
          <t>Doctor</t>
        </is>
      </c>
      <c r="C63" s="62" t="inlineStr">
        <is>
          <t>SFDA identifiers and controlled-substance rules — KSA</t>
        </is>
      </c>
      <c r="D63" s="66" t="inlineStr">
        <is>
          <t>MVP</t>
        </is>
      </c>
      <c r="E63" s="62" t="inlineStr">
        <is>
          <t>NB-010, NB-109, NB-111</t>
        </is>
      </c>
      <c r="F63" s="66" t="n">
        <v>3</v>
      </c>
      <c r="G63" s="66">
        <f>IF(F63&gt;0,"Yes","NO")</f>
        <v/>
      </c>
    </row>
    <row r="64" ht="15" customHeight="1" s="51">
      <c r="A64" s="73" t="inlineStr">
        <is>
          <t>DOC-09</t>
        </is>
      </c>
      <c r="B64" s="73" t="inlineStr">
        <is>
          <t>Doctor</t>
        </is>
      </c>
      <c r="C64" s="68" t="inlineStr">
        <is>
          <t>Signed — DOC-09 — the procedure can proceed</t>
        </is>
      </c>
      <c r="D64" s="69" t="inlineStr">
        <is>
          <t>MVP</t>
        </is>
      </c>
      <c r="E64" s="68" t="inlineStr">
        <is>
          <t>NB-119</t>
        </is>
      </c>
      <c r="F64" s="69" t="n">
        <v>1</v>
      </c>
      <c r="G64" s="69">
        <f>IF(F64&gt;0,"Yes","NO")</f>
        <v/>
      </c>
    </row>
    <row r="65" ht="15" customHeight="1" s="51">
      <c r="A65" s="72" t="inlineStr">
        <is>
          <t>DOC-11</t>
        </is>
      </c>
      <c r="B65" s="72" t="inlineStr">
        <is>
          <t>Doctor</t>
        </is>
      </c>
      <c r="C65" s="62" t="inlineStr">
        <is>
          <t>Print &amp; share visit outputs</t>
        </is>
      </c>
      <c r="D65" s="66" t="inlineStr">
        <is>
          <t>MVP</t>
        </is>
      </c>
      <c r="E65" s="62" t="inlineStr">
        <is>
          <t>NB-117</t>
        </is>
      </c>
      <c r="F65" s="66" t="n">
        <v>1</v>
      </c>
      <c r="G65" s="66">
        <f>IF(F65&gt;0,"Yes","NO")</f>
        <v/>
      </c>
    </row>
    <row r="66" ht="15" customHeight="1" s="51">
      <c r="A66" s="73" t="inlineStr">
        <is>
          <t>DPO-01</t>
        </is>
      </c>
      <c r="B66" s="73" t="inlineStr">
        <is>
          <t>Data prot.</t>
        </is>
      </c>
      <c r="C66" s="68" t="inlineStr">
        <is>
          <t>Consent registry &amp; audit</t>
        </is>
      </c>
      <c r="D66" s="69" t="inlineStr">
        <is>
          <t>MVP</t>
        </is>
      </c>
      <c r="E66" s="68" t="inlineStr">
        <is>
          <t>NB-242, NB-272, NB-276</t>
        </is>
      </c>
      <c r="F66" s="69" t="n">
        <v>3</v>
      </c>
      <c r="G66" s="69">
        <f>IF(F66&gt;0,"Yes","NO")</f>
        <v/>
      </c>
    </row>
    <row r="67" ht="15" customHeight="1" s="51">
      <c r="A67" s="72" t="inlineStr">
        <is>
          <t>DPO-02</t>
        </is>
      </c>
      <c r="B67" s="72" t="inlineStr">
        <is>
          <t>Data prot.</t>
        </is>
      </c>
      <c r="C67" s="62" t="inlineStr">
        <is>
          <t>DSR workflow engine</t>
        </is>
      </c>
      <c r="D67" s="66" t="inlineStr">
        <is>
          <t>MVP</t>
        </is>
      </c>
      <c r="E67" s="62" t="inlineStr">
        <is>
          <t>NB-244, NB-253</t>
        </is>
      </c>
      <c r="F67" s="66" t="n">
        <v>2</v>
      </c>
      <c r="G67" s="66">
        <f>IF(F67&gt;0,"Yes","NO")</f>
        <v/>
      </c>
    </row>
    <row r="68" ht="15" customHeight="1" s="51">
      <c r="A68" s="73" t="inlineStr">
        <is>
          <t>DPO-03</t>
        </is>
      </c>
      <c r="B68" s="73" t="inlineStr">
        <is>
          <t>Data prot.</t>
        </is>
      </c>
      <c r="C68" s="68" t="inlineStr">
        <is>
          <t>Breach management ops</t>
        </is>
      </c>
      <c r="D68" s="69" t="inlineStr">
        <is>
          <t>MVP</t>
        </is>
      </c>
      <c r="E68" s="68" t="inlineStr">
        <is>
          <t>NB-249</t>
        </is>
      </c>
      <c r="F68" s="69" t="n">
        <v>1</v>
      </c>
      <c r="G68" s="69">
        <f>IF(F68&gt;0,"Yes","NO")</f>
        <v/>
      </c>
    </row>
    <row r="69" ht="15" customHeight="1" s="51">
      <c r="A69" s="72" t="inlineStr">
        <is>
          <t>DPO-04</t>
        </is>
      </c>
      <c r="B69" s="72" t="inlineStr">
        <is>
          <t>Data prot.</t>
        </is>
      </c>
      <c r="C69" s="62" t="inlineStr">
        <is>
          <t>seven states, every transition audited</t>
        </is>
      </c>
      <c r="D69" s="66" t="inlineStr">
        <is>
          <t>MVP</t>
        </is>
      </c>
      <c r="E69" s="62" t="inlineStr">
        <is>
          <t>NB-261</t>
        </is>
      </c>
      <c r="F69" s="66" t="n">
        <v>1</v>
      </c>
      <c r="G69" s="66">
        <f>IF(F69&gt;0,"Yes","NO")</f>
        <v/>
      </c>
    </row>
    <row r="70" ht="15" customHeight="1" s="51">
      <c r="A70" s="73" t="inlineStr">
        <is>
          <t>DPO-05</t>
        </is>
      </c>
      <c r="B70" s="73" t="inlineStr">
        <is>
          <t>Data prot.</t>
        </is>
      </c>
      <c r="C70" s="68" t="inlineStr">
        <is>
          <t>Retention &amp; deletion engine</t>
        </is>
      </c>
      <c r="D70" s="69" t="inlineStr">
        <is>
          <t>MVP</t>
        </is>
      </c>
      <c r="E70" s="68" t="inlineStr">
        <is>
          <t>NB-245, NB-246, NB-247</t>
        </is>
      </c>
      <c r="F70" s="69" t="n">
        <v>3</v>
      </c>
      <c r="G70" s="69">
        <f>IF(F70&gt;0,"Yes","NO")</f>
        <v/>
      </c>
    </row>
    <row r="71" ht="15" customHeight="1" s="51">
      <c r="A71" s="72" t="inlineStr">
        <is>
          <t>DPO-09</t>
        </is>
      </c>
      <c r="B71" s="72" t="inlineStr">
        <is>
          <t>Data prot.</t>
        </is>
      </c>
      <c r="C71" s="62" t="inlineStr">
        <is>
          <t>Child-data protection controls</t>
        </is>
      </c>
      <c r="D71" s="66" t="inlineStr">
        <is>
          <t>MVP</t>
        </is>
      </c>
      <c r="E71" s="62" t="inlineStr">
        <is>
          <t>NB-089, NB-199, NB-252</t>
        </is>
      </c>
      <c r="F71" s="66" t="n">
        <v>3</v>
      </c>
      <c r="G71" s="66">
        <f>IF(F71&gt;0,"Yes","NO")</f>
        <v/>
      </c>
    </row>
    <row r="72" ht="15" customHeight="1" s="51">
      <c r="A72" s="73" t="inlineStr">
        <is>
          <t>ENT-01</t>
        </is>
      </c>
      <c r="B72" s="73" t="inlineStr">
        <is>
          <t>ENT</t>
        </is>
      </c>
      <c r="C72" s="68" t="inlineStr">
        <is>
          <t>Endoscopy image/video attach</t>
        </is>
      </c>
      <c r="D72" s="69" t="inlineStr">
        <is>
          <t>Phase 2</t>
        </is>
      </c>
      <c r="E72" s="68" t="inlineStr">
        <is>
          <t>NB-139</t>
        </is>
      </c>
      <c r="F72" s="69" t="n">
        <v>1</v>
      </c>
      <c r="G72" s="69">
        <f>IF(F72&gt;0,"Yes","NO")</f>
        <v/>
      </c>
    </row>
    <row r="73" ht="15" customHeight="1" s="51">
      <c r="A73" s="72" t="inlineStr">
        <is>
          <t>ENT-02</t>
        </is>
      </c>
      <c r="B73" s="72" t="inlineStr">
        <is>
          <t>ENT</t>
        </is>
      </c>
      <c r="C73" s="62" t="inlineStr">
        <is>
          <t>Audiogram entry &amp; attach</t>
        </is>
      </c>
      <c r="D73" s="66" t="inlineStr">
        <is>
          <t>Phase 2</t>
        </is>
      </c>
      <c r="E73" s="62" t="inlineStr">
        <is>
          <t>NB-139</t>
        </is>
      </c>
      <c r="F73" s="66" t="n">
        <v>1</v>
      </c>
      <c r="G73" s="66">
        <f>IF(F73&gt;0,"Yes","NO")</f>
        <v/>
      </c>
    </row>
    <row r="74" ht="15" customHeight="1" s="51">
      <c r="A74" s="73" t="inlineStr">
        <is>
          <t>ENT-03</t>
        </is>
      </c>
      <c r="B74" s="73" t="inlineStr">
        <is>
          <t>ENT</t>
        </is>
      </c>
      <c r="C74" s="68" t="inlineStr">
        <is>
          <t>Minor-procedure notes + consent</t>
        </is>
      </c>
      <c r="D74" s="69" t="inlineStr">
        <is>
          <t>Phase 2</t>
        </is>
      </c>
      <c r="E74" s="68" t="inlineStr">
        <is>
          <t>NB-139</t>
        </is>
      </c>
      <c r="F74" s="69" t="n">
        <v>1</v>
      </c>
      <c r="G74" s="69">
        <f>IF(F74&gt;0,"Yes","NO")</f>
        <v/>
      </c>
    </row>
    <row r="75" ht="15" customHeight="1" s="51">
      <c r="A75" s="72" t="inlineStr">
        <is>
          <t>GP-02</t>
        </is>
      </c>
      <c r="B75" s="72" t="inlineStr">
        <is>
          <t>Gen. prac.</t>
        </is>
      </c>
      <c r="C75" s="62" t="inlineStr">
        <is>
          <t>Chronic reviews due</t>
        </is>
      </c>
      <c r="D75" s="66" t="inlineStr">
        <is>
          <t>MVP</t>
        </is>
      </c>
      <c r="E75" s="62" t="inlineStr">
        <is>
          <t>NB-074, NB-077</t>
        </is>
      </c>
      <c r="F75" s="66" t="n">
        <v>2</v>
      </c>
      <c r="G75" s="66">
        <f>IF(F75&gt;0,"Yes","NO")</f>
        <v/>
      </c>
    </row>
    <row r="76" ht="15" customHeight="1" s="51">
      <c r="A76" s="73" t="inlineStr">
        <is>
          <t>GP-03</t>
        </is>
      </c>
      <c r="B76" s="73" t="inlineStr">
        <is>
          <t>Gen. prac.</t>
        </is>
      </c>
      <c r="C76" s="68" t="inlineStr">
        <is>
          <t>Chart system gallery</t>
        </is>
      </c>
      <c r="D76" s="69" t="inlineStr">
        <is>
          <t>MVP</t>
        </is>
      </c>
      <c r="E76" s="68" t="inlineStr">
        <is>
          <t>NB-022, NB-023, NB-028</t>
        </is>
      </c>
      <c r="F76" s="69" t="n">
        <v>3</v>
      </c>
      <c r="G76" s="69">
        <f>IF(F76&gt;0,"Yes","NO")</f>
        <v/>
      </c>
    </row>
    <row r="77" ht="15" customHeight="1" s="51">
      <c r="A77" s="72" t="inlineStr">
        <is>
          <t>GP-04</t>
        </is>
      </c>
      <c r="B77" s="72" t="inlineStr">
        <is>
          <t>Gen. prac.</t>
        </is>
      </c>
      <c r="C77" s="62" t="inlineStr">
        <is>
          <t>Referral letter generation</t>
        </is>
      </c>
      <c r="D77" s="66" t="inlineStr">
        <is>
          <t>MVP</t>
        </is>
      </c>
      <c r="E77" s="62" t="inlineStr">
        <is>
          <t>NB-118</t>
        </is>
      </c>
      <c r="F77" s="66" t="n">
        <v>1</v>
      </c>
      <c r="G77" s="66">
        <f>IF(F77&gt;0,"Yes","NO")</f>
        <v/>
      </c>
    </row>
    <row r="78" ht="15" customHeight="1" s="51">
      <c r="A78" s="73" t="inlineStr">
        <is>
          <t>GP-05</t>
        </is>
      </c>
      <c r="B78" s="73" t="inlineStr">
        <is>
          <t>Gen. prac.</t>
        </is>
      </c>
      <c r="C78" s="68" t="inlineStr">
        <is>
          <t>Generic name printed first (India NMC norm)</t>
        </is>
      </c>
      <c r="D78" s="69" t="inlineStr">
        <is>
          <t>MVP</t>
        </is>
      </c>
      <c r="E78" s="68" t="inlineStr">
        <is>
          <t>NB-010, NB-110, NB-111</t>
        </is>
      </c>
      <c r="F78" s="69" t="n">
        <v>3</v>
      </c>
      <c r="G78" s="69">
        <f>IF(F78&gt;0,"Yes","NO")</f>
        <v/>
      </c>
    </row>
    <row r="79" ht="15" customHeight="1" s="51">
      <c r="A79" s="72" t="inlineStr">
        <is>
          <t>GP-06</t>
        </is>
      </c>
      <c r="B79" s="72" t="inlineStr">
        <is>
          <t>Gen. prac.</t>
        </is>
      </c>
      <c r="C79" s="62" t="inlineStr">
        <is>
          <t>Favourite Rx sets</t>
        </is>
      </c>
      <c r="D79" s="66" t="inlineStr">
        <is>
          <t>MVP</t>
        </is>
      </c>
      <c r="E79" s="62" t="inlineStr">
        <is>
          <t>NB-105, NB-109, NB-114</t>
        </is>
      </c>
      <c r="F79" s="66" t="n">
        <v>3</v>
      </c>
      <c r="G79" s="66">
        <f>IF(F79&gt;0,"Yes","NO")</f>
        <v/>
      </c>
    </row>
    <row r="80" ht="15" customHeight="1" s="51">
      <c r="A80" s="73" t="inlineStr">
        <is>
          <t>GP-07</t>
        </is>
      </c>
      <c r="B80" s="73" t="inlineStr">
        <is>
          <t>Gen. prac.</t>
        </is>
      </c>
      <c r="C80" s="68" t="inlineStr">
        <is>
          <t>Medical / sick-leave certificate</t>
        </is>
      </c>
      <c r="D80" s="69" t="inlineStr">
        <is>
          <t>MVP</t>
        </is>
      </c>
      <c r="E80" s="68" t="inlineStr">
        <is>
          <t>NB-118</t>
        </is>
      </c>
      <c r="F80" s="69" t="n">
        <v>1</v>
      </c>
      <c r="G80" s="69">
        <f>IF(F80&gt;0,"Yes","NO")</f>
        <v/>
      </c>
    </row>
    <row r="81" ht="15" customHeight="1" s="51">
      <c r="A81" s="72" t="inlineStr">
        <is>
          <t>GYN-01</t>
        </is>
      </c>
      <c r="B81" s="72" t="inlineStr">
        <is>
          <t>Gynae</t>
        </is>
      </c>
      <c r="C81" s="62" t="inlineStr">
        <is>
          <t>Pregnancy tracker (LMP → EDD timeline)</t>
        </is>
      </c>
      <c r="D81" s="66" t="inlineStr">
        <is>
          <t>Phase 2</t>
        </is>
      </c>
      <c r="E81" s="62" t="inlineStr">
        <is>
          <t>NB-137</t>
        </is>
      </c>
      <c r="F81" s="66" t="n">
        <v>1</v>
      </c>
      <c r="G81" s="66">
        <f>IF(F81&gt;0,"Yes","NO")</f>
        <v/>
      </c>
    </row>
    <row r="82" ht="15" customHeight="1" s="51">
      <c r="A82" s="73" t="inlineStr">
        <is>
          <t>GYN-02</t>
        </is>
      </c>
      <c r="B82" s="73" t="inlineStr">
        <is>
          <t>Gynae</t>
        </is>
      </c>
      <c r="C82" s="68" t="inlineStr">
        <is>
          <t>Ultrasound report attach &amp; review</t>
        </is>
      </c>
      <c r="D82" s="69" t="inlineStr">
        <is>
          <t>Phase 2</t>
        </is>
      </c>
      <c r="E82" s="68" t="inlineStr">
        <is>
          <t>NB-138</t>
        </is>
      </c>
      <c r="F82" s="69" t="n">
        <v>1</v>
      </c>
      <c r="G82" s="69">
        <f>IF(F82&gt;0,"Yes","NO")</f>
        <v/>
      </c>
    </row>
    <row r="83" ht="15" customHeight="1" s="51">
      <c r="A83" s="72" t="inlineStr">
        <is>
          <t>GYN-03</t>
        </is>
      </c>
      <c r="B83" s="72" t="inlineStr">
        <is>
          <t>Gynae</t>
        </is>
      </c>
      <c r="C83" s="62" t="inlineStr">
        <is>
          <t>Pregnancy and lactation warning — works without the Gynaecology profile</t>
        </is>
      </c>
      <c r="D83" s="66" t="inlineStr">
        <is>
          <t>MVP</t>
        </is>
      </c>
      <c r="E83" s="62" t="inlineStr">
        <is>
          <t>NB-113, NB-321</t>
        </is>
      </c>
      <c r="F83" s="66" t="n">
        <v>2</v>
      </c>
      <c r="G83" s="66">
        <f>IF(F83&gt;0,"Yes","NO")</f>
        <v/>
      </c>
    </row>
    <row r="84" ht="15" customHeight="1" s="51">
      <c r="A84" s="73" t="inlineStr">
        <is>
          <t>HOM-02</t>
        </is>
      </c>
      <c r="B84" s="73" t="inlineStr">
        <is>
          <t>Homeo</t>
        </is>
      </c>
      <c r="C84" s="68" t="inlineStr">
        <is>
          <t>Remedy &amp; potency (Homeopathy)</t>
        </is>
      </c>
      <c r="D84" s="69" t="inlineStr">
        <is>
          <t>Phase 2</t>
        </is>
      </c>
      <c r="E84" s="68" t="inlineStr">
        <is>
          <t>NB-141</t>
        </is>
      </c>
      <c r="F84" s="69" t="n">
        <v>1</v>
      </c>
      <c r="G84" s="69">
        <f>IF(F84&gt;0,"Yes","NO")</f>
        <v/>
      </c>
    </row>
    <row r="85" ht="15" customHeight="1" s="51">
      <c r="A85" s="72" t="inlineStr">
        <is>
          <t>MKT-04</t>
        </is>
      </c>
      <c r="B85" s="72" t="inlineStr">
        <is>
          <t>Marketing</t>
        </is>
      </c>
      <c r="C85" s="62" t="inlineStr">
        <is>
          <t>Influencer &amp; social attribution</t>
        </is>
      </c>
      <c r="D85" s="66" t="inlineStr">
        <is>
          <t>MVP</t>
        </is>
      </c>
      <c r="E85" s="62" t="inlineStr">
        <is>
          <t>NB-079, NB-230</t>
        </is>
      </c>
      <c r="F85" s="66" t="n">
        <v>2</v>
      </c>
      <c r="G85" s="66">
        <f>IF(F85&gt;0,"Yes","NO")</f>
        <v/>
      </c>
    </row>
    <row r="86" ht="35.05" customHeight="1" s="51">
      <c r="A86" s="73" t="inlineStr">
        <is>
          <t>NFR-02</t>
        </is>
      </c>
      <c r="B86" s="73" t="inlineStr">
        <is>
          <t>Non-func.</t>
        </is>
      </c>
      <c r="C86" s="68" t="n"/>
      <c r="D86" s="69" t="inlineStr">
        <is>
          <t>MVP</t>
        </is>
      </c>
      <c r="E86" s="68" t="inlineStr">
        <is>
          <t>NB-006, NB-024, NB-029, NB-200, NB-273, NB-288, NB-316, NB-324, NB-327, NB-331</t>
        </is>
      </c>
      <c r="F86" s="69" t="n">
        <v>10</v>
      </c>
      <c r="G86" s="69">
        <f>IF(F86&gt;0,"Yes","NO")</f>
        <v/>
      </c>
    </row>
    <row r="87" ht="23.85" customHeight="1" s="51">
      <c r="A87" s="72" t="inlineStr">
        <is>
          <t>NFR-04</t>
        </is>
      </c>
      <c r="B87" s="72" t="inlineStr">
        <is>
          <t>Non-func.</t>
        </is>
      </c>
      <c r="C87" s="62" t="inlineStr">
        <is>
          <t>no cross-region replication, region-scoped KMS keys</t>
        </is>
      </c>
      <c r="D87" s="66" t="inlineStr">
        <is>
          <t>MVP</t>
        </is>
      </c>
      <c r="E87" s="62" t="inlineStr">
        <is>
          <t>NB-001, NB-002, NB-254, NB-271, NB-283, NB-299, NB-306</t>
        </is>
      </c>
      <c r="F87" s="66" t="n">
        <v>7</v>
      </c>
      <c r="G87" s="66">
        <f>IF(F87&gt;0,"Yes","NO")</f>
        <v/>
      </c>
    </row>
    <row r="88" ht="15" customHeight="1" s="51">
      <c r="A88" s="73" t="inlineStr">
        <is>
          <t>NFR-06</t>
        </is>
      </c>
      <c r="B88" s="73" t="inlineStr">
        <is>
          <t>Non-func.</t>
        </is>
      </c>
      <c r="C88" s="68" t="n"/>
      <c r="D88" s="69" t="inlineStr">
        <is>
          <t>MVP</t>
        </is>
      </c>
      <c r="E88" s="68" t="inlineStr">
        <is>
          <t>NB-040, NB-042</t>
        </is>
      </c>
      <c r="F88" s="69" t="n">
        <v>2</v>
      </c>
      <c r="G88" s="69">
        <f>IF(F88&gt;0,"Yes","NO")</f>
        <v/>
      </c>
    </row>
    <row r="89" ht="15" customHeight="1" s="51">
      <c r="A89" s="72" t="inlineStr">
        <is>
          <t>NFR-07</t>
        </is>
      </c>
      <c r="B89" s="72" t="inlineStr">
        <is>
          <t>Non-func.</t>
        </is>
      </c>
      <c r="C89" s="62" t="inlineStr">
        <is>
          <t>Regulator/owner export within 72h — NFR-07 · 3-year retention.</t>
        </is>
      </c>
      <c r="D89" s="66" t="inlineStr">
        <is>
          <t>MVP</t>
        </is>
      </c>
      <c r="E89" s="62" t="inlineStr">
        <is>
          <t>NB-078, NB-244, NB-247, NB-253</t>
        </is>
      </c>
      <c r="F89" s="66" t="n">
        <v>4</v>
      </c>
      <c r="G89" s="66">
        <f>IF(F89&gt;0,"Yes","NO")</f>
        <v/>
      </c>
    </row>
    <row r="90" ht="15" customHeight="1" s="51">
      <c r="A90" s="73" t="inlineStr">
        <is>
          <t>NFR-08</t>
        </is>
      </c>
      <c r="B90" s="73" t="inlineStr">
        <is>
          <t>Non-func.</t>
        </is>
      </c>
      <c r="C90" s="68" t="inlineStr">
        <is>
          <t>Consent is checked at query level — NFR-08.</t>
        </is>
      </c>
      <c r="D90" s="69" t="inlineStr">
        <is>
          <t>MVP</t>
        </is>
      </c>
      <c r="E90" s="68" t="inlineStr">
        <is>
          <t>NB-053, NB-196, NB-241</t>
        </is>
      </c>
      <c r="F90" s="69" t="n">
        <v>3</v>
      </c>
      <c r="G90" s="69">
        <f>IF(F90&gt;0,"Yes","NO")</f>
        <v/>
      </c>
    </row>
    <row r="91" ht="15" customHeight="1" s="51">
      <c r="A91" s="72" t="inlineStr">
        <is>
          <t>NFR-09</t>
        </is>
      </c>
      <c r="B91" s="72" t="inlineStr">
        <is>
          <t>Non-func.</t>
        </is>
      </c>
      <c r="C91" s="62" t="inlineStr">
        <is>
          <t>Annual CERT-In-empanelled VAPT (NFR-09) · annual drill with tenants.</t>
        </is>
      </c>
      <c r="D91" s="66" t="inlineStr">
        <is>
          <t>MVP</t>
        </is>
      </c>
      <c r="E91" s="62" t="inlineStr">
        <is>
          <t>NB-294, NB-295, NB-348</t>
        </is>
      </c>
      <c r="F91" s="66" t="n">
        <v>3</v>
      </c>
      <c r="G91" s="66">
        <f>IF(F91&gt;0,"Yes","NO")</f>
        <v/>
      </c>
    </row>
    <row r="92" ht="23.85" customHeight="1" s="51">
      <c r="A92" s="73" t="inlineStr">
        <is>
          <t>NFR-12</t>
        </is>
      </c>
      <c r="B92" s="73" t="inlineStr">
        <is>
          <t>Non-func.</t>
        </is>
      </c>
      <c r="C92" s="68" t="inlineStr">
        <is>
          <t>A sync queue means a clinic working offline, not lost data. WhatsApp quality under 60% puts sending at risk.</t>
        </is>
      </c>
      <c r="D92" s="69" t="inlineStr">
        <is>
          <t>MVP</t>
        </is>
      </c>
      <c r="E92" s="68" t="inlineStr">
        <is>
          <t>NB-007, NB-020, NB-096, NB-263, NB-327, NB-328, NB-330, NB-341</t>
        </is>
      </c>
      <c r="F92" s="69" t="n">
        <v>8</v>
      </c>
      <c r="G92" s="69">
        <f>IF(F92&gt;0,"Yes","NO")</f>
        <v/>
      </c>
    </row>
    <row r="93" ht="15" customHeight="1" s="51">
      <c r="A93" s="72" t="inlineStr">
        <is>
          <t>NFR-18</t>
        </is>
      </c>
      <c r="B93" s="72" t="inlineStr">
        <is>
          <t>Non-func.</t>
        </is>
      </c>
      <c r="C93" s="62" t="inlineStr">
        <is>
          <t>Fully self-serve, no support help needed — NFR-18.</t>
        </is>
      </c>
      <c r="D93" s="66" t="inlineStr">
        <is>
          <t>MVP</t>
        </is>
      </c>
      <c r="E93" s="62" t="inlineStr">
        <is>
          <t>NB-060, NB-068, NB-345</t>
        </is>
      </c>
      <c r="F93" s="66" t="n">
        <v>3</v>
      </c>
      <c r="G93" s="66">
        <f>IF(F93&gt;0,"Yes","NO")</f>
        <v/>
      </c>
    </row>
    <row r="94" ht="15" customHeight="1" s="51">
      <c r="A94" s="73" t="inlineStr">
        <is>
          <t>NUR-05</t>
        </is>
      </c>
      <c r="B94" s="73" t="inlineStr">
        <is>
          <t>Nursing</t>
        </is>
      </c>
      <c r="C94" s="68" t="inlineStr">
        <is>
          <t>Clinical triage inbox</t>
        </is>
      </c>
      <c r="D94" s="69" t="inlineStr">
        <is>
          <t>MVP</t>
        </is>
      </c>
      <c r="E94" s="68" t="inlineStr">
        <is>
          <t>NB-144</t>
        </is>
      </c>
      <c r="F94" s="69" t="n">
        <v>1</v>
      </c>
      <c r="G94" s="69">
        <f>IF(F94&gt;0,"Yes","NO")</f>
        <v/>
      </c>
    </row>
    <row r="95" ht="15" customHeight="1" s="51">
      <c r="A95" s="72" t="inlineStr">
        <is>
          <t>ORTH-01</t>
        </is>
      </c>
      <c r="B95" s="72" t="inlineStr">
        <is>
          <t>Ortho</t>
        </is>
      </c>
      <c r="C95" s="62" t="inlineStr">
        <is>
          <t>X-ray attach &amp; review flag</t>
        </is>
      </c>
      <c r="D95" s="66" t="inlineStr">
        <is>
          <t>MVP</t>
        </is>
      </c>
      <c r="E95" s="62" t="inlineStr">
        <is>
          <t>NB-135</t>
        </is>
      </c>
      <c r="F95" s="66" t="n">
        <v>1</v>
      </c>
      <c r="G95" s="66">
        <f>IF(F95&gt;0,"Yes","NO")</f>
        <v/>
      </c>
    </row>
    <row r="96" ht="15" customHeight="1" s="51">
      <c r="A96" s="73" t="inlineStr">
        <is>
          <t>ORTH-02</t>
        </is>
      </c>
      <c r="B96" s="73" t="inlineStr">
        <is>
          <t>Ortho</t>
        </is>
      </c>
      <c r="C96" s="68" t="inlineStr">
        <is>
          <t>Fracture/injury note templates</t>
        </is>
      </c>
      <c r="D96" s="69" t="inlineStr">
        <is>
          <t>MVP</t>
        </is>
      </c>
      <c r="E96" s="68" t="inlineStr">
        <is>
          <t>NB-135</t>
        </is>
      </c>
      <c r="F96" s="69" t="n">
        <v>1</v>
      </c>
      <c r="G96" s="69">
        <f>IF(F96&gt;0,"Yes","NO")</f>
        <v/>
      </c>
    </row>
    <row r="97" ht="15" customHeight="1" s="51">
      <c r="A97" s="72" t="inlineStr">
        <is>
          <t>ORTH-03</t>
        </is>
      </c>
      <c r="B97" s="72" t="inlineStr">
        <is>
          <t>Ortho</t>
        </is>
      </c>
      <c r="C97" s="62" t="inlineStr">
        <is>
          <t>Physio session packages</t>
        </is>
      </c>
      <c r="D97" s="66" t="inlineStr">
        <is>
          <t>Phase 2</t>
        </is>
      </c>
      <c r="E97" s="62" t="inlineStr">
        <is>
          <t>NB-136</t>
        </is>
      </c>
      <c r="F97" s="66" t="n">
        <v>1</v>
      </c>
      <c r="G97" s="66">
        <f>IF(F97&gt;0,"Yes","NO")</f>
        <v/>
      </c>
    </row>
    <row r="98" ht="15" customHeight="1" s="51">
      <c r="A98" s="73" t="inlineStr">
        <is>
          <t>OWN-01</t>
        </is>
      </c>
      <c r="B98" s="73" t="inlineStr">
        <is>
          <t>Owner</t>
        </is>
      </c>
      <c r="C98" s="68" t="inlineStr">
        <is>
          <t>Daily money dashboard</t>
        </is>
      </c>
      <c r="D98" s="69" t="inlineStr">
        <is>
          <t>MVP</t>
        </is>
      </c>
      <c r="E98" s="68" t="inlineStr">
        <is>
          <t>NB-025, NB-229, NB-324, NB-332</t>
        </is>
      </c>
      <c r="F98" s="69" t="n">
        <v>4</v>
      </c>
      <c r="G98" s="69">
        <f>IF(F98&gt;0,"Yes","NO")</f>
        <v/>
      </c>
    </row>
    <row r="99" ht="15" customHeight="1" s="51">
      <c r="A99" s="72" t="inlineStr">
        <is>
          <t>OWN-02</t>
        </is>
      </c>
      <c r="B99" s="72" t="inlineStr">
        <is>
          <t>Owner</t>
        </is>
      </c>
      <c r="C99" s="62" t="inlineStr">
        <is>
          <t>Where patients come from</t>
        </is>
      </c>
      <c r="D99" s="66" t="inlineStr">
        <is>
          <t>MVP</t>
        </is>
      </c>
      <c r="E99" s="62" t="inlineStr">
        <is>
          <t>NB-079, NB-230</t>
        </is>
      </c>
      <c r="F99" s="66" t="n">
        <v>2</v>
      </c>
      <c r="G99" s="66">
        <f>IF(F99&gt;0,"Yes","NO")</f>
        <v/>
      </c>
    </row>
    <row r="100" ht="15" customHeight="1" s="51">
      <c r="A100" s="73" t="inlineStr">
        <is>
          <t>OWN-03</t>
        </is>
      </c>
      <c r="B100" s="73" t="inlineStr">
        <is>
          <t>Owner</t>
        </is>
      </c>
      <c r="C100" s="68" t="inlineStr">
        <is>
          <t>Repeat-patient &amp; recall value</t>
        </is>
      </c>
      <c r="D100" s="69" t="inlineStr">
        <is>
          <t>Phase 2</t>
        </is>
      </c>
      <c r="E100" s="68" t="inlineStr">
        <is>
          <t>NB-234</t>
        </is>
      </c>
      <c r="F100" s="69" t="n">
        <v>1</v>
      </c>
      <c r="G100" s="69">
        <f>IF(F100&gt;0,"Yes","NO")</f>
        <v/>
      </c>
    </row>
    <row r="101" ht="15" customHeight="1" s="51">
      <c r="A101" s="72" t="inlineStr">
        <is>
          <t>OWN-04</t>
        </is>
      </c>
      <c r="B101" s="72" t="inlineStr">
        <is>
          <t>Owner</t>
        </is>
      </c>
      <c r="C101" s="62" t="inlineStr">
        <is>
          <t>Staff collection &amp; performance</t>
        </is>
      </c>
      <c r="D101" s="66" t="inlineStr">
        <is>
          <t>MVP</t>
        </is>
      </c>
      <c r="E101" s="62" t="inlineStr">
        <is>
          <t>NB-231</t>
        </is>
      </c>
      <c r="F101" s="66" t="n">
        <v>1</v>
      </c>
      <c r="G101" s="66">
        <f>IF(F101&gt;0,"Yes","NO")</f>
        <v/>
      </c>
    </row>
    <row r="102" ht="15" customHeight="1" s="51">
      <c r="A102" s="73" t="inlineStr">
        <is>
          <t>OWN-05</t>
        </is>
      </c>
      <c r="B102" s="73" t="inlineStr">
        <is>
          <t>Owner</t>
        </is>
      </c>
      <c r="C102" s="68" t="inlineStr">
        <is>
          <t>No-show prediction (rule-based)</t>
        </is>
      </c>
      <c r="D102" s="69" t="inlineStr">
        <is>
          <t>Phase 2</t>
        </is>
      </c>
      <c r="E102" s="68" t="inlineStr">
        <is>
          <t>NB-234, NB-235</t>
        </is>
      </c>
      <c r="F102" s="69" t="n">
        <v>2</v>
      </c>
      <c r="G102" s="69">
        <f>IF(F102&gt;0,"Yes","NO")</f>
        <v/>
      </c>
    </row>
    <row r="103" ht="15" customHeight="1" s="51">
      <c r="A103" s="72" t="inlineStr">
        <is>
          <t>OWN-07</t>
        </is>
      </c>
      <c r="B103" s="72" t="inlineStr">
        <is>
          <t>Owner</t>
        </is>
      </c>
      <c r="C103" s="62" t="inlineStr">
        <is>
          <t>Day close</t>
        </is>
      </c>
      <c r="D103" s="66" t="inlineStr">
        <is>
          <t>MVP</t>
        </is>
      </c>
      <c r="E103" s="62" t="inlineStr">
        <is>
          <t>NB-172</t>
        </is>
      </c>
      <c r="F103" s="66" t="n">
        <v>1</v>
      </c>
      <c r="G103" s="66">
        <f>IF(F103&gt;0,"Yes","NO")</f>
        <v/>
      </c>
    </row>
    <row r="104" ht="15" customHeight="1" s="51">
      <c r="A104" s="73" t="inlineStr">
        <is>
          <t>OWN-08</t>
        </is>
      </c>
      <c r="B104" s="73" t="inlineStr">
        <is>
          <t>Owner</t>
        </is>
      </c>
      <c r="C104" s="68" t="inlineStr">
        <is>
          <t>Package liability</t>
        </is>
      </c>
      <c r="D104" s="69" t="inlineStr">
        <is>
          <t>MVP</t>
        </is>
      </c>
      <c r="E104" s="68" t="inlineStr">
        <is>
          <t>NB-161, NB-232</t>
        </is>
      </c>
      <c r="F104" s="69" t="n">
        <v>2</v>
      </c>
      <c r="G104" s="69">
        <f>IF(F104&gt;0,"Yes","NO")</f>
        <v/>
      </c>
    </row>
    <row r="105" ht="15" customHeight="1" s="51">
      <c r="A105" s="72" t="inlineStr">
        <is>
          <t>OWN-09</t>
        </is>
      </c>
      <c r="B105" s="72" t="inlineStr">
        <is>
          <t>Owner</t>
        </is>
      </c>
      <c r="C105" s="62" t="inlineStr">
        <is>
          <t>Billing leakage alerts</t>
        </is>
      </c>
      <c r="D105" s="66" t="inlineStr">
        <is>
          <t>MVP</t>
        </is>
      </c>
      <c r="E105" s="62" t="inlineStr">
        <is>
          <t>NB-233</t>
        </is>
      </c>
      <c r="F105" s="66" t="n">
        <v>1</v>
      </c>
      <c r="G105" s="66">
        <f>IF(F105&gt;0,"Yes","NO")</f>
        <v/>
      </c>
    </row>
    <row r="106" ht="15" customHeight="1" s="51">
      <c r="A106" s="73" t="inlineStr">
        <is>
          <t>PAT-01</t>
        </is>
      </c>
      <c r="B106" s="73" t="inlineStr">
        <is>
          <t>Patient</t>
        </is>
      </c>
      <c r="C106" s="68" t="inlineStr">
        <is>
          <t>WhatsApp zero-form registration</t>
        </is>
      </c>
      <c r="D106" s="69" t="inlineStr">
        <is>
          <t>MVP</t>
        </is>
      </c>
      <c r="E106" s="68" t="inlineStr">
        <is>
          <t>NB-071, NB-201, NB-289</t>
        </is>
      </c>
      <c r="F106" s="69" t="n">
        <v>3</v>
      </c>
      <c r="G106" s="69">
        <f>IF(F106&gt;0,"Yes","NO")</f>
        <v/>
      </c>
    </row>
    <row r="107" ht="15" customHeight="1" s="51">
      <c r="A107" s="72" t="inlineStr">
        <is>
          <t>PAT-03</t>
        </is>
      </c>
      <c r="B107" s="72" t="inlineStr">
        <is>
          <t>Patient</t>
        </is>
      </c>
      <c r="C107" s="62" t="inlineStr">
        <is>
          <t>Guided booking, tap-budgeted</t>
        </is>
      </c>
      <c r="D107" s="66" t="inlineStr">
        <is>
          <t>MVP</t>
        </is>
      </c>
      <c r="E107" s="62" t="inlineStr">
        <is>
          <t>NB-080, NB-202, NB-250, NB-316</t>
        </is>
      </c>
      <c r="F107" s="66" t="n">
        <v>4</v>
      </c>
      <c r="G107" s="66">
        <f>IF(F107&gt;0,"Yes","NO")</f>
        <v/>
      </c>
    </row>
    <row r="108" ht="15" customHeight="1" s="51">
      <c r="A108" s="73" t="inlineStr">
        <is>
          <t>PAT-04</t>
        </is>
      </c>
      <c r="B108" s="73" t="inlineStr">
        <is>
          <t>Patient</t>
        </is>
      </c>
      <c r="C108" s="68" t="inlineStr">
        <is>
          <t>Layered reminders with confirmation cascade</t>
        </is>
      </c>
      <c r="D108" s="69" t="inlineStr">
        <is>
          <t>MVP</t>
        </is>
      </c>
      <c r="E108" s="68" t="inlineStr">
        <is>
          <t>NB-203</t>
        </is>
      </c>
      <c r="F108" s="69" t="n">
        <v>1</v>
      </c>
      <c r="G108" s="69">
        <f>IF(F108&gt;0,"Yes","NO")</f>
        <v/>
      </c>
    </row>
    <row r="109" ht="15" customHeight="1" s="51">
      <c r="A109" s="72" t="inlineStr">
        <is>
          <t>PAT-05</t>
        </is>
      </c>
      <c r="B109" s="72" t="inlineStr">
        <is>
          <t>Patient</t>
        </is>
      </c>
      <c r="C109" s="62" t="inlineStr">
        <is>
          <t>Live queue &amp; your-turn tracking</t>
        </is>
      </c>
      <c r="D109" s="66" t="inlineStr">
        <is>
          <t>MVP</t>
        </is>
      </c>
      <c r="E109" s="62" t="inlineStr">
        <is>
          <t>NB-101, NB-204</t>
        </is>
      </c>
      <c r="F109" s="66" t="n">
        <v>2</v>
      </c>
      <c r="G109" s="66">
        <f>IF(F109&gt;0,"Yes","NO")</f>
        <v/>
      </c>
    </row>
    <row r="110" ht="15" customHeight="1" s="51">
      <c r="A110" s="73" t="inlineStr">
        <is>
          <t>PAT-06</t>
        </is>
      </c>
      <c r="B110" s="73" t="inlineStr">
        <is>
          <t>Patient</t>
        </is>
      </c>
      <c r="C110" s="68" t="inlineStr">
        <is>
          <t>Cancel with one-tap reason</t>
        </is>
      </c>
      <c r="D110" s="69" t="inlineStr">
        <is>
          <t>MVP</t>
        </is>
      </c>
      <c r="E110" s="68" t="inlineStr">
        <is>
          <t>NB-205</t>
        </is>
      </c>
      <c r="F110" s="69" t="n">
        <v>1</v>
      </c>
      <c r="G110" s="69">
        <f>IF(F110&gt;0,"Yes","NO")</f>
        <v/>
      </c>
    </row>
    <row r="111" ht="15" customHeight="1" s="51">
      <c r="A111" s="72" t="inlineStr">
        <is>
          <t>PAT-07</t>
        </is>
      </c>
      <c r="B111" s="72" t="inlineStr">
        <is>
          <t>Patient</t>
        </is>
      </c>
      <c r="C111" s="62" t="inlineStr">
        <is>
          <t>Waitlist join &amp; auto-fill offers</t>
        </is>
      </c>
      <c r="D111" s="66" t="inlineStr">
        <is>
          <t>MVP</t>
        </is>
      </c>
      <c r="E111" s="62" t="inlineStr">
        <is>
          <t>NB-099, NB-208</t>
        </is>
      </c>
      <c r="F111" s="66" t="n">
        <v>2</v>
      </c>
      <c r="G111" s="66">
        <f>IF(F111&gt;0,"Yes","NO")</f>
        <v/>
      </c>
    </row>
    <row r="112" ht="15" customHeight="1" s="51">
      <c r="A112" s="73" t="inlineStr">
        <is>
          <t>PAT-08</t>
        </is>
      </c>
      <c r="B112" s="73" t="inlineStr">
        <is>
          <t>Patient</t>
        </is>
      </c>
      <c r="C112" s="68" t="inlineStr">
        <is>
          <t>One-tap reschedule</t>
        </is>
      </c>
      <c r="D112" s="69" t="inlineStr">
        <is>
          <t>MVP</t>
        </is>
      </c>
      <c r="E112" s="68" t="inlineStr">
        <is>
          <t>NB-206</t>
        </is>
      </c>
      <c r="F112" s="69" t="n">
        <v>1</v>
      </c>
      <c r="G112" s="69">
        <f>IF(F112&gt;0,"Yes","NO")</f>
        <v/>
      </c>
    </row>
    <row r="113" ht="15" customHeight="1" s="51">
      <c r="A113" s="72" t="inlineStr">
        <is>
          <t>PAT-09</t>
        </is>
      </c>
      <c r="B113" s="72" t="inlineStr">
        <is>
          <t>Patient</t>
        </is>
      </c>
      <c r="C113" s="62" t="inlineStr">
        <is>
          <t>Arrival check-in — QR or in-chat</t>
        </is>
      </c>
      <c r="D113" s="66" t="inlineStr">
        <is>
          <t>MVP</t>
        </is>
      </c>
      <c r="E113" s="62" t="inlineStr">
        <is>
          <t>NB-207</t>
        </is>
      </c>
      <c r="F113" s="66" t="n">
        <v>1</v>
      </c>
      <c r="G113" s="66">
        <f>IF(F113&gt;0,"Yes","NO")</f>
        <v/>
      </c>
    </row>
    <row r="114" ht="15" customHeight="1" s="51">
      <c r="A114" s="73" t="inlineStr">
        <is>
          <t>PAT-10</t>
        </is>
      </c>
      <c r="B114" s="73" t="inlineStr">
        <is>
          <t>Patient</t>
        </is>
      </c>
      <c r="C114" s="68" t="inlineStr">
        <is>
          <t>Payments, deposits &amp; refunds in chat</t>
        </is>
      </c>
      <c r="D114" s="69" t="inlineStr">
        <is>
          <t>MVP</t>
        </is>
      </c>
      <c r="E114" s="68" t="inlineStr">
        <is>
          <t>NB-169, NB-209</t>
        </is>
      </c>
      <c r="F114" s="69" t="n">
        <v>2</v>
      </c>
      <c r="G114" s="69">
        <f>IF(F114&gt;0,"Yes","NO")</f>
        <v/>
      </c>
    </row>
    <row r="115" ht="15" customHeight="1" s="51">
      <c r="A115" s="72" t="inlineStr">
        <is>
          <t>PAT-11</t>
        </is>
      </c>
      <c r="B115" s="72" t="inlineStr">
        <is>
          <t>Patient</t>
        </is>
      </c>
      <c r="C115" s="62" t="inlineStr">
        <is>
          <t>Post-visit follow-up check-ins</t>
        </is>
      </c>
      <c r="D115" s="66" t="inlineStr">
        <is>
          <t>MVP</t>
        </is>
      </c>
      <c r="E115" s="62" t="inlineStr">
        <is>
          <t>NB-212</t>
        </is>
      </c>
      <c r="F115" s="66" t="n">
        <v>1</v>
      </c>
      <c r="G115" s="66">
        <f>IF(F115&gt;0,"Yes","NO")</f>
        <v/>
      </c>
    </row>
    <row r="116" ht="15" customHeight="1" s="51">
      <c r="A116" s="73" t="inlineStr">
        <is>
          <t>PAT-13</t>
        </is>
      </c>
      <c r="B116" s="73" t="inlineStr">
        <is>
          <t>Patient</t>
        </is>
      </c>
      <c r="C116" s="68" t="inlineStr">
        <is>
          <t>Receive prescriptions &amp; reports securely</t>
        </is>
      </c>
      <c r="D116" s="69" t="inlineStr">
        <is>
          <t>MVP</t>
        </is>
      </c>
      <c r="E116" s="68" t="inlineStr">
        <is>
          <t>NB-076, NB-213</t>
        </is>
      </c>
      <c r="F116" s="69" t="n">
        <v>2</v>
      </c>
      <c r="G116" s="69">
        <f>IF(F116&gt;0,"Yes","NO")</f>
        <v/>
      </c>
    </row>
    <row r="117" ht="15" customHeight="1" s="51">
      <c r="A117" s="72" t="inlineStr">
        <is>
          <t>PAT-14</t>
        </is>
      </c>
      <c r="B117" s="72" t="inlineStr">
        <is>
          <t>Patient</t>
        </is>
      </c>
      <c r="C117" s="62" t="inlineStr">
        <is>
          <t>My data &amp; privacy self-service</t>
        </is>
      </c>
      <c r="D117" s="66" t="inlineStr">
        <is>
          <t>MVP</t>
        </is>
      </c>
      <c r="E117" s="62" t="inlineStr">
        <is>
          <t>NB-078, NB-214, NB-243</t>
        </is>
      </c>
      <c r="F117" s="66" t="n">
        <v>3</v>
      </c>
      <c r="G117" s="66">
        <f>IF(F117&gt;0,"Yes","NO")</f>
        <v/>
      </c>
    </row>
    <row r="118" ht="15" customHeight="1" s="51">
      <c r="A118" s="73" t="inlineStr">
        <is>
          <t>PAT-15</t>
        </is>
      </c>
      <c r="B118" s="73" t="inlineStr">
        <is>
          <t>Patient</t>
        </is>
      </c>
      <c r="C118" s="68" t="inlineStr">
        <is>
          <t>Multilingual &amp; voice-note interaction</t>
        </is>
      </c>
      <c r="D118" s="69" t="inlineStr">
        <is>
          <t>MVP</t>
        </is>
      </c>
      <c r="E118" s="68" t="inlineStr">
        <is>
          <t>NB-030, NB-039, NB-215</t>
        </is>
      </c>
      <c r="F118" s="69" t="n">
        <v>3</v>
      </c>
      <c r="G118" s="69">
        <f>IF(F118&gt;0,"Yes","NO")</f>
        <v/>
      </c>
    </row>
    <row r="119" ht="15" customHeight="1" s="51">
      <c r="A119" s="72" t="inlineStr">
        <is>
          <t>PAT-16</t>
        </is>
      </c>
      <c r="B119" s="72" t="inlineStr">
        <is>
          <t>Patient</t>
        </is>
      </c>
      <c r="C119" s="62" t="inlineStr">
        <is>
          <t>Teleconsultation booking &amp; join</t>
        </is>
      </c>
      <c r="D119" s="66" t="inlineStr">
        <is>
          <t>Phase 3</t>
        </is>
      </c>
      <c r="E119" s="62" t="inlineStr">
        <is>
          <t>NB-220</t>
        </is>
      </c>
      <c r="F119" s="66" t="n">
        <v>1</v>
      </c>
      <c r="G119" s="66">
        <f>IF(F119&gt;0,"Yes","NO")</f>
        <v/>
      </c>
    </row>
    <row r="120" ht="15" customHeight="1" s="51">
      <c r="A120" s="73" t="inlineStr">
        <is>
          <t>PAT-17</t>
        </is>
      </c>
      <c r="B120" s="73" t="inlineStr">
        <is>
          <t>Patient</t>
        </is>
      </c>
      <c r="C120" s="68" t="inlineStr">
        <is>
          <t>Clinic-branded personal messaging</t>
        </is>
      </c>
      <c r="D120" s="69" t="inlineStr">
        <is>
          <t>MVP</t>
        </is>
      </c>
      <c r="E120" s="68" t="inlineStr">
        <is>
          <t>NB-198</t>
        </is>
      </c>
      <c r="F120" s="69" t="n">
        <v>1</v>
      </c>
      <c r="G120" s="69">
        <f>IF(F120&gt;0,"Yes","NO")</f>
        <v/>
      </c>
    </row>
    <row r="121" ht="15" customHeight="1" s="51">
      <c r="A121" s="72" t="inlineStr">
        <is>
          <t>PAT-19</t>
        </is>
      </c>
      <c r="B121" s="72" t="inlineStr">
        <is>
          <t>Patient</t>
        </is>
      </c>
      <c r="C121" s="62" t="inlineStr">
        <is>
          <t>Smart overbooking protection</t>
        </is>
      </c>
      <c r="D121" s="66" t="inlineStr">
        <is>
          <t>MVP</t>
        </is>
      </c>
      <c r="E121" s="62" t="inlineStr">
        <is>
          <t>NB-098</t>
        </is>
      </c>
      <c r="F121" s="66" t="n">
        <v>1</v>
      </c>
      <c r="G121" s="66">
        <f>IF(F121&gt;0,"Yes","NO")</f>
        <v/>
      </c>
    </row>
    <row r="122" ht="15" customHeight="1" s="51">
      <c r="A122" s="73" t="inlineStr">
        <is>
          <t>PAT-20</t>
        </is>
      </c>
      <c r="B122" s="73" t="inlineStr">
        <is>
          <t>Patient</t>
        </is>
      </c>
      <c r="C122" s="68" t="inlineStr">
        <is>
          <t>Treatment-linked recall engine</t>
        </is>
      </c>
      <c r="D122" s="69" t="inlineStr">
        <is>
          <t>MVP</t>
        </is>
      </c>
      <c r="E122" s="68" t="inlineStr">
        <is>
          <t>NB-116, NB-125, NB-216, NB-308</t>
        </is>
      </c>
      <c r="F122" s="69" t="n">
        <v>4</v>
      </c>
      <c r="G122" s="69">
        <f>IF(F122&gt;0,"Yes","NO")</f>
        <v/>
      </c>
    </row>
    <row r="123" ht="15" customHeight="1" s="51">
      <c r="A123" s="72" t="inlineStr">
        <is>
          <t>PAT-21</t>
        </is>
      </c>
      <c r="B123" s="72" t="inlineStr">
        <is>
          <t>Patient</t>
        </is>
      </c>
      <c r="C123" s="62" t="inlineStr">
        <is>
          <t>Buy a package in WhatsApp (with PKG-04)</t>
        </is>
      </c>
      <c r="D123" s="66" t="inlineStr">
        <is>
          <t>Phase 2</t>
        </is>
      </c>
      <c r="E123" s="62" t="inlineStr">
        <is>
          <t>NB-210</t>
        </is>
      </c>
      <c r="F123" s="66" t="n">
        <v>1</v>
      </c>
      <c r="G123" s="66">
        <f>IF(F123&gt;0,"Yes","NO")</f>
        <v/>
      </c>
    </row>
    <row r="124" ht="15" customHeight="1" s="51">
      <c r="A124" s="73" t="inlineStr">
        <is>
          <t>PAT-22</t>
        </is>
      </c>
      <c r="B124" s="73" t="inlineStr">
        <is>
          <t>Patient</t>
        </is>
      </c>
      <c r="C124" s="68" t="inlineStr">
        <is>
          <t>Package session tracking</t>
        </is>
      </c>
      <c r="D124" s="69" t="inlineStr">
        <is>
          <t>MVP</t>
        </is>
      </c>
      <c r="E124" s="68" t="inlineStr">
        <is>
          <t>NB-211</t>
        </is>
      </c>
      <c r="F124" s="69" t="n">
        <v>1</v>
      </c>
      <c r="G124" s="69">
        <f>IF(F124&gt;0,"Yes","NO")</f>
        <v/>
      </c>
    </row>
    <row r="125" ht="15" customHeight="1" s="51">
      <c r="A125" s="72" t="inlineStr">
        <is>
          <t>PAT-24</t>
        </is>
      </c>
      <c r="B125" s="72" t="inlineStr">
        <is>
          <t>Patient</t>
        </is>
      </c>
      <c r="C125" s="62" t="inlineStr">
        <is>
          <t>Family &amp; chronic-care memberships</t>
        </is>
      </c>
      <c r="D125" s="66" t="inlineStr">
        <is>
          <t>Phase 3</t>
        </is>
      </c>
      <c r="E125" s="62" t="inlineStr">
        <is>
          <t>NB-088, NB-219</t>
        </is>
      </c>
      <c r="F125" s="66" t="n">
        <v>2</v>
      </c>
      <c r="G125" s="66">
        <f>IF(F125&gt;0,"Yes","NO")</f>
        <v/>
      </c>
    </row>
    <row r="126" ht="15" customHeight="1" s="51">
      <c r="A126" s="73" t="inlineStr">
        <is>
          <t>PAT-25</t>
        </is>
      </c>
      <c r="B126" s="73" t="inlineStr">
        <is>
          <t>Patient</t>
        </is>
      </c>
      <c r="C126" s="68" t="inlineStr">
        <is>
          <t>Referral rewards</t>
        </is>
      </c>
      <c r="D126" s="69" t="inlineStr">
        <is>
          <t>Phase 2</t>
        </is>
      </c>
      <c r="E126" s="68" t="inlineStr">
        <is>
          <t>NB-218</t>
        </is>
      </c>
      <c r="F126" s="69" t="n">
        <v>1</v>
      </c>
      <c r="G126" s="69">
        <f>IF(F126&gt;0,"Yes","NO")</f>
        <v/>
      </c>
    </row>
    <row r="127" ht="15" customHeight="1" s="51">
      <c r="A127" s="72" t="inlineStr">
        <is>
          <t>PAT-26</t>
        </is>
      </c>
      <c r="B127" s="72" t="inlineStr">
        <is>
          <t>Patient</t>
        </is>
      </c>
      <c r="C127" s="62" t="inlineStr">
        <is>
          <t>Google-review prompt</t>
        </is>
      </c>
      <c r="D127" s="66" t="inlineStr">
        <is>
          <t>Phase 2</t>
        </is>
      </c>
      <c r="E127" s="62" t="inlineStr">
        <is>
          <t>NB-217, NB-226</t>
        </is>
      </c>
      <c r="F127" s="66" t="n">
        <v>2</v>
      </c>
      <c r="G127" s="66">
        <f>IF(F127&gt;0,"Yes","NO")</f>
        <v/>
      </c>
    </row>
    <row r="128" ht="15" customHeight="1" s="51">
      <c r="A128" s="73" t="inlineStr">
        <is>
          <t>PED-01</t>
        </is>
      </c>
      <c r="B128" s="73" t="inlineStr">
        <is>
          <t>Paeds</t>
        </is>
      </c>
      <c r="C128" s="68" t="inlineStr">
        <is>
          <t>Vaccines due</t>
        </is>
      </c>
      <c r="D128" s="69" t="inlineStr">
        <is>
          <t>MVP</t>
        </is>
      </c>
      <c r="E128" s="68" t="inlineStr">
        <is>
          <t>NB-131</t>
        </is>
      </c>
      <c r="F128" s="69" t="n">
        <v>1</v>
      </c>
      <c r="G128" s="69">
        <f>IF(F128&gt;0,"Yes","NO")</f>
        <v/>
      </c>
    </row>
    <row r="129" ht="15" customHeight="1" s="51">
      <c r="A129" s="72" t="inlineStr">
        <is>
          <t>PED-02</t>
        </is>
      </c>
      <c r="B129" s="72" t="inlineStr">
        <is>
          <t>Paeds</t>
        </is>
      </c>
      <c r="C129" s="62" t="inlineStr">
        <is>
          <t>a single message — reconciled with PED-02's parent reminder, never two.</t>
        </is>
      </c>
      <c r="D129" s="66" t="inlineStr">
        <is>
          <t>MVP</t>
        </is>
      </c>
      <c r="E129" s="62" t="inlineStr">
        <is>
          <t>NB-133</t>
        </is>
      </c>
      <c r="F129" s="66" t="n">
        <v>1</v>
      </c>
      <c r="G129" s="66">
        <f>IF(F129&gt;0,"Yes","NO")</f>
        <v/>
      </c>
    </row>
    <row r="130" ht="15" customHeight="1" s="51">
      <c r="A130" s="73" t="inlineStr">
        <is>
          <t>PED-03</t>
        </is>
      </c>
      <c r="B130" s="73" t="inlineStr">
        <is>
          <t>Paeds</t>
        </is>
      </c>
      <c r="C130" s="68" t="inlineStr">
        <is>
          <t>Chart system gallery</t>
        </is>
      </c>
      <c r="D130" s="69" t="inlineStr">
        <is>
          <t>MVP</t>
        </is>
      </c>
      <c r="E130" s="68" t="inlineStr">
        <is>
          <t>NB-022, NB-028, NB-132</t>
        </is>
      </c>
      <c r="F130" s="69" t="n">
        <v>3</v>
      </c>
      <c r="G130" s="69">
        <f>IF(F130&gt;0,"Yes","NO")</f>
        <v/>
      </c>
    </row>
    <row r="131" ht="15" customHeight="1" s="51">
      <c r="A131" s="72" t="inlineStr">
        <is>
          <t>PED-04</t>
        </is>
      </c>
      <c r="B131" s="72" t="inlineStr">
        <is>
          <t>Paeds</t>
        </is>
      </c>
      <c r="C131" s="62" t="inlineStr">
        <is>
          <t>PED-04 · triggered by a validated growth service, never calculated in the UI</t>
        </is>
      </c>
      <c r="D131" s="66" t="inlineStr">
        <is>
          <t>Phase 2</t>
        </is>
      </c>
      <c r="E131" s="62" t="inlineStr">
        <is>
          <t>NB-132</t>
        </is>
      </c>
      <c r="F131" s="66" t="n">
        <v>1</v>
      </c>
      <c r="G131" s="66">
        <f>IF(F131&gt;0,"Yes","NO")</f>
        <v/>
      </c>
    </row>
    <row r="132" ht="15" customHeight="1" s="51">
      <c r="A132" s="73" t="inlineStr">
        <is>
          <t>PED-05</t>
        </is>
      </c>
      <c r="B132" s="73" t="inlineStr">
        <is>
          <t>Paeds</t>
        </is>
      </c>
      <c r="C132" s="68" t="inlineStr">
        <is>
          <t>Weight-based dosing from latest recorded weight</t>
        </is>
      </c>
      <c r="D132" s="69" t="inlineStr">
        <is>
          <t>MVP</t>
        </is>
      </c>
      <c r="E132" s="68" t="inlineStr">
        <is>
          <t>NB-106, NB-112, NB-321</t>
        </is>
      </c>
      <c r="F132" s="69" t="n">
        <v>3</v>
      </c>
      <c r="G132" s="69">
        <f>IF(F132&gt;0,"Yes","NO")</f>
        <v/>
      </c>
    </row>
    <row r="133" ht="15" customHeight="1" s="51">
      <c r="A133" s="72" t="inlineStr">
        <is>
          <t>PED-06</t>
        </is>
      </c>
      <c r="B133" s="72" t="inlineStr">
        <is>
          <t>Paeds</t>
        </is>
      </c>
      <c r="C133" s="62" t="inlineStr">
        <is>
          <t>PED-06 · consent stored separately per guardian</t>
        </is>
      </c>
      <c r="D133" s="66" t="inlineStr">
        <is>
          <t>MVP</t>
        </is>
      </c>
      <c r="E133" s="62" t="inlineStr">
        <is>
          <t>NB-082</t>
        </is>
      </c>
      <c r="F133" s="66" t="n">
        <v>1</v>
      </c>
      <c r="G133" s="66">
        <f>IF(F133&gt;0,"Yes","NO")</f>
        <v/>
      </c>
    </row>
    <row r="134" ht="15" customHeight="1" s="51">
      <c r="A134" s="73" t="inlineStr">
        <is>
          <t>PED-07</t>
        </is>
      </c>
      <c r="B134" s="73" t="inlineStr">
        <is>
          <t>Paeds</t>
        </is>
      </c>
      <c r="C134" s="68" t="inlineStr">
        <is>
          <t>PED-07 · friendly avatar only, no clinical data</t>
        </is>
      </c>
      <c r="D134" s="69" t="inlineStr">
        <is>
          <t>Phase 2</t>
        </is>
      </c>
      <c r="E134" s="68" t="inlineStr">
        <is>
          <t>NB-134</t>
        </is>
      </c>
      <c r="F134" s="69" t="n">
        <v>1</v>
      </c>
      <c r="G134" s="69">
        <f>IF(F134&gt;0,"Yes","NO")</f>
        <v/>
      </c>
    </row>
    <row r="135" ht="15" customHeight="1" s="51">
      <c r="A135" s="72" t="inlineStr">
        <is>
          <t>PED-08</t>
        </is>
      </c>
      <c r="B135" s="72" t="inlineStr">
        <is>
          <t>Paeds</t>
        </is>
      </c>
      <c r="C135" s="62" t="inlineStr">
        <is>
          <t>PED-08 · content loaded from a versioned clinical source</t>
        </is>
      </c>
      <c r="D135" s="66" t="inlineStr">
        <is>
          <t>MVP</t>
        </is>
      </c>
      <c r="E135" s="62" t="inlineStr">
        <is>
          <t>NB-131</t>
        </is>
      </c>
      <c r="F135" s="66" t="n">
        <v>1</v>
      </c>
      <c r="G135" s="66">
        <f>IF(F135&gt;0,"Yes","NO")</f>
        <v/>
      </c>
    </row>
    <row r="136" ht="15" customHeight="1" s="51">
      <c r="A136" s="73" t="inlineStr">
        <is>
          <t>PHR-01</t>
        </is>
      </c>
      <c r="B136" s="73" t="inlineStr">
        <is>
          <t>Pharmacy</t>
        </is>
      </c>
      <c r="C136" s="68" t="inlineStr">
        <is>
          <t>e-Rx dispensing queue</t>
        </is>
      </c>
      <c r="D136" s="69" t="inlineStr">
        <is>
          <t>MVP</t>
        </is>
      </c>
      <c r="E136" s="68" t="inlineStr">
        <is>
          <t>NB-179</t>
        </is>
      </c>
      <c r="F136" s="69" t="n">
        <v>1</v>
      </c>
      <c r="G136" s="69">
        <f>IF(F136&gt;0,"Yes","NO")</f>
        <v/>
      </c>
    </row>
    <row r="137" ht="15" customHeight="1" s="51">
      <c r="A137" s="72" t="inlineStr">
        <is>
          <t>PHR-03</t>
        </is>
      </c>
      <c r="B137" s="72" t="inlineStr">
        <is>
          <t>Pharmacy</t>
        </is>
      </c>
      <c r="C137" s="62" t="inlineStr">
        <is>
          <t>Full inventory, batch &amp; expiry</t>
        </is>
      </c>
      <c r="D137" s="66" t="inlineStr">
        <is>
          <t>Phase 2</t>
        </is>
      </c>
      <c r="E137" s="62" t="inlineStr">
        <is>
          <t>NB-181, NB-187</t>
        </is>
      </c>
      <c r="F137" s="66" t="n">
        <v>2</v>
      </c>
      <c r="G137" s="66">
        <f>IF(F137&gt;0,"Yes","NO")</f>
        <v/>
      </c>
    </row>
    <row r="138" ht="15" customHeight="1" s="51">
      <c r="A138" s="73" t="inlineStr">
        <is>
          <t>PHR-04</t>
        </is>
      </c>
      <c r="B138" s="73" t="inlineStr">
        <is>
          <t>Pharmacy</t>
        </is>
      </c>
      <c r="C138" s="68" t="inlineStr">
        <is>
          <t>Controlled-drug register</t>
        </is>
      </c>
      <c r="D138" s="69" t="inlineStr">
        <is>
          <t>Phase 2</t>
        </is>
      </c>
      <c r="E138" s="68" t="inlineStr">
        <is>
          <t>NB-182</t>
        </is>
      </c>
      <c r="F138" s="69" t="n">
        <v>1</v>
      </c>
      <c r="G138" s="69">
        <f>IF(F138&gt;0,"Yes","NO")</f>
        <v/>
      </c>
    </row>
    <row r="139" ht="15" customHeight="1" s="51">
      <c r="A139" s="72" t="inlineStr">
        <is>
          <t>PHR-05</t>
        </is>
      </c>
      <c r="B139" s="72" t="inlineStr">
        <is>
          <t>Pharmacy</t>
        </is>
      </c>
      <c r="C139" s="62" t="inlineStr">
        <is>
          <t>WhatsApp refill reminders</t>
        </is>
      </c>
      <c r="D139" s="66" t="inlineStr">
        <is>
          <t>Phase 2</t>
        </is>
      </c>
      <c r="E139" s="62" t="inlineStr">
        <is>
          <t>NB-184</t>
        </is>
      </c>
      <c r="F139" s="66" t="n">
        <v>1</v>
      </c>
      <c r="G139" s="66">
        <f>IF(F139&gt;0,"Yes","NO")</f>
        <v/>
      </c>
    </row>
    <row r="140" ht="15" customHeight="1" s="51">
      <c r="A140" s="73" t="inlineStr">
        <is>
          <t>PHR-06</t>
        </is>
      </c>
      <c r="B140" s="73" t="inlineStr">
        <is>
          <t>Pharmacy</t>
        </is>
      </c>
      <c r="C140" s="68" t="inlineStr">
        <is>
          <t>Pharmacy items on the main bill</t>
        </is>
      </c>
      <c r="D140" s="69" t="inlineStr">
        <is>
          <t>MVP</t>
        </is>
      </c>
      <c r="E140" s="68" t="inlineStr">
        <is>
          <t>NB-180</t>
        </is>
      </c>
      <c r="F140" s="69" t="n">
        <v>1</v>
      </c>
      <c r="G140" s="69">
        <f>IF(F140&gt;0,"Yes","NO")</f>
        <v/>
      </c>
    </row>
    <row r="141" ht="15" customHeight="1" s="51">
      <c r="A141" s="72" t="inlineStr">
        <is>
          <t>PHR-09</t>
        </is>
      </c>
      <c r="B141" s="72" t="inlineStr">
        <is>
          <t>Pharmacy</t>
        </is>
      </c>
      <c r="C141" s="62" t="inlineStr">
        <is>
          <t>One-tap dispense &amp; bill</t>
        </is>
      </c>
      <c r="D141" s="66" t="inlineStr">
        <is>
          <t>MVP</t>
        </is>
      </c>
      <c r="E141" s="62" t="inlineStr">
        <is>
          <t>NB-180</t>
        </is>
      </c>
      <c r="F141" s="66" t="n">
        <v>1</v>
      </c>
      <c r="G141" s="66">
        <f>IF(F141&gt;0,"Yes","NO")</f>
        <v/>
      </c>
    </row>
    <row r="142" ht="15" customHeight="1" s="51">
      <c r="A142" s="73" t="inlineStr">
        <is>
          <t>PHR-10</t>
        </is>
      </c>
      <c r="B142" s="73" t="inlineStr">
        <is>
          <t>Pharmacy</t>
        </is>
      </c>
      <c r="C142" s="68" t="inlineStr">
        <is>
          <t>Low-stock &amp; expiry alerts</t>
        </is>
      </c>
      <c r="D142" s="69" t="inlineStr">
        <is>
          <t>Phase 2</t>
        </is>
      </c>
      <c r="E142" s="68" t="inlineStr">
        <is>
          <t>NB-183, NB-187</t>
        </is>
      </c>
      <c r="F142" s="69" t="n">
        <v>2</v>
      </c>
      <c r="G142" s="69">
        <f>IF(F142&gt;0,"Yes","NO")</f>
        <v/>
      </c>
    </row>
    <row r="143" ht="15" customHeight="1" s="51">
      <c r="A143" s="72" t="inlineStr">
        <is>
          <t>PHR-11</t>
        </is>
      </c>
      <c r="B143" s="72" t="inlineStr">
        <is>
          <t>Pharmacy</t>
        </is>
      </c>
      <c r="C143" s="62" t="inlineStr">
        <is>
          <t>Bought-where adherence capture</t>
        </is>
      </c>
      <c r="D143" s="66" t="inlineStr">
        <is>
          <t>MVP</t>
        </is>
      </c>
      <c r="E143" s="62" t="inlineStr">
        <is>
          <t>NB-185</t>
        </is>
      </c>
      <c r="F143" s="66" t="n">
        <v>1</v>
      </c>
      <c r="G143" s="66">
        <f>IF(F143&gt;0,"Yes","NO")</f>
        <v/>
      </c>
    </row>
    <row r="144" ht="15" customHeight="1" s="51">
      <c r="A144" s="73" t="inlineStr">
        <is>
          <t>PHR-12</t>
        </is>
      </c>
      <c r="B144" s="73" t="inlineStr">
        <is>
          <t>Pharmacy</t>
        </is>
      </c>
      <c r="C144" s="68" t="inlineStr">
        <is>
          <t>Small-shelf item master</t>
        </is>
      </c>
      <c r="D144" s="69" t="inlineStr">
        <is>
          <t>MVP</t>
        </is>
      </c>
      <c r="E144" s="68" t="inlineStr">
        <is>
          <t>NB-178, NB-186</t>
        </is>
      </c>
      <c r="F144" s="69" t="n">
        <v>2</v>
      </c>
      <c r="G144" s="69">
        <f>IF(F144&gt;0,"Yes","NO")</f>
        <v/>
      </c>
    </row>
    <row r="145" ht="15" customHeight="1" s="51">
      <c r="A145" s="72" t="inlineStr">
        <is>
          <t>PKG-02</t>
        </is>
      </c>
      <c r="B145" s="72" t="inlineStr">
        <is>
          <t>Packages</t>
        </is>
      </c>
      <c r="C145" s="62" t="inlineStr">
        <is>
          <t>Blocking Dr. Meera Iyer affects an active package restricted to this doctor — PKG-02.</t>
        </is>
      </c>
      <c r="D145" s="66" t="inlineStr">
        <is>
          <t>MVP</t>
        </is>
      </c>
      <c r="E145" s="62" t="inlineStr">
        <is>
          <t>NB-155</t>
        </is>
      </c>
      <c r="F145" s="66" t="n">
        <v>1</v>
      </c>
      <c r="G145" s="66">
        <f>IF(F145&gt;0,"Yes","NO")</f>
        <v/>
      </c>
    </row>
    <row r="146" ht="15" customHeight="1" s="51">
      <c r="A146" s="73" t="inlineStr">
        <is>
          <t>PKG-04</t>
        </is>
      </c>
      <c r="B146" s="73" t="inlineStr">
        <is>
          <t>Packages</t>
        </is>
      </c>
      <c r="C146" s="68" t="inlineStr">
        <is>
          <t>My package</t>
        </is>
      </c>
      <c r="D146" s="69" t="inlineStr">
        <is>
          <t>Phase 2</t>
        </is>
      </c>
      <c r="E146" s="68" t="inlineStr">
        <is>
          <t>NB-210</t>
        </is>
      </c>
      <c r="F146" s="69" t="n">
        <v>1</v>
      </c>
      <c r="G146" s="69">
        <f>IF(F146&gt;0,"Yes","NO")</f>
        <v/>
      </c>
    </row>
    <row r="147" ht="15" customHeight="1" s="51">
      <c r="A147" s="72" t="inlineStr">
        <is>
          <t>PKG-06</t>
        </is>
      </c>
      <c r="B147" s="72" t="inlineStr">
        <is>
          <t>Packages</t>
        </is>
      </c>
      <c r="C147" s="62" t="inlineStr">
        <is>
          <t>Payment plans &amp; auto-collection</t>
        </is>
      </c>
      <c r="D147" s="66" t="inlineStr">
        <is>
          <t>Phase 2</t>
        </is>
      </c>
      <c r="E147" s="62" t="inlineStr">
        <is>
          <t>NB-156</t>
        </is>
      </c>
      <c r="F147" s="66" t="n">
        <v>1</v>
      </c>
      <c r="G147" s="66">
        <f>IF(F147&gt;0,"Yes","NO")</f>
        <v/>
      </c>
    </row>
    <row r="148" ht="15" customHeight="1" s="51">
      <c r="A148" s="73" t="inlineStr">
        <is>
          <t>PKG-07</t>
        </is>
      </c>
      <c r="B148" s="73" t="inlineStr">
        <is>
          <t>Packages</t>
        </is>
      </c>
      <c r="C148" s="68" t="inlineStr">
        <is>
          <t>Payment plans &amp; auto-collection</t>
        </is>
      </c>
      <c r="D148" s="69" t="inlineStr">
        <is>
          <t>Phase 2</t>
        </is>
      </c>
      <c r="E148" s="68" t="inlineStr">
        <is>
          <t>NB-156</t>
        </is>
      </c>
      <c r="F148" s="69" t="n">
        <v>1</v>
      </c>
      <c r="G148" s="69">
        <f>IF(F148&gt;0,"Yes","NO")</f>
        <v/>
      </c>
    </row>
    <row r="149" ht="15" customHeight="1" s="51">
      <c r="A149" s="72" t="inlineStr">
        <is>
          <t>PKG-10</t>
        </is>
      </c>
      <c r="B149" s="72" t="inlineStr">
        <is>
          <t>Packages</t>
        </is>
      </c>
      <c r="C149" s="62" t="inlineStr">
        <is>
          <t>Session redemption booking</t>
        </is>
      </c>
      <c r="D149" s="66" t="inlineStr">
        <is>
          <t>MVP</t>
        </is>
      </c>
      <c r="E149" s="62" t="inlineStr">
        <is>
          <t>NB-147, NB-154</t>
        </is>
      </c>
      <c r="F149" s="66" t="n">
        <v>2</v>
      </c>
      <c r="G149" s="66">
        <f>IF(F149&gt;0,"Yes","NO")</f>
        <v/>
      </c>
    </row>
    <row r="150" ht="15" customHeight="1" s="51">
      <c r="A150" s="73" t="inlineStr">
        <is>
          <t>PKG-12</t>
        </is>
      </c>
      <c r="B150" s="73" t="inlineStr">
        <is>
          <t>Packages</t>
        </is>
      </c>
      <c r="C150" s="68" t="inlineStr">
        <is>
          <t>Progress view &amp; next-session nudges</t>
        </is>
      </c>
      <c r="D150" s="69" t="inlineStr">
        <is>
          <t>MVP</t>
        </is>
      </c>
      <c r="E150" s="68" t="inlineStr">
        <is>
          <t>NB-136, NB-153, NB-158, NB-211</t>
        </is>
      </c>
      <c r="F150" s="69" t="n">
        <v>4</v>
      </c>
      <c r="G150" s="69">
        <f>IF(F150&gt;0,"Yes","NO")</f>
        <v/>
      </c>
    </row>
    <row r="151" ht="15" customHeight="1" s="51">
      <c r="A151" s="72" t="inlineStr">
        <is>
          <t>PKG-13</t>
        </is>
      </c>
      <c r="B151" s="72" t="inlineStr">
        <is>
          <t>Packages</t>
        </is>
      </c>
      <c r="C151" s="62" t="inlineStr">
        <is>
          <t>Expiry warnings &amp; grace period</t>
        </is>
      </c>
      <c r="D151" s="66" t="inlineStr">
        <is>
          <t>MVP</t>
        </is>
      </c>
      <c r="E151" s="62" t="inlineStr">
        <is>
          <t>NB-157, NB-308</t>
        </is>
      </c>
      <c r="F151" s="66" t="n">
        <v>2</v>
      </c>
      <c r="G151" s="66">
        <f>IF(F151&gt;0,"Yes","NO")</f>
        <v/>
      </c>
    </row>
    <row r="152" ht="15" customHeight="1" s="51">
      <c r="A152" s="73" t="inlineStr">
        <is>
          <t>PKG-16</t>
        </is>
      </c>
      <c r="B152" s="73" t="inlineStr">
        <is>
          <t>Packages</t>
        </is>
      </c>
      <c r="C152" s="68" t="inlineStr">
        <is>
          <t>Transfer &amp; gifting of remaining sessions</t>
        </is>
      </c>
      <c r="D152" s="69" t="inlineStr">
        <is>
          <t>Phase 2</t>
        </is>
      </c>
      <c r="E152" s="68" t="inlineStr">
        <is>
          <t>NB-159</t>
        </is>
      </c>
      <c r="F152" s="69" t="n">
        <v>1</v>
      </c>
      <c r="G152" s="69">
        <f>IF(F152&gt;0,"Yes","NO")</f>
        <v/>
      </c>
    </row>
    <row r="153" ht="15" customHeight="1" s="51">
      <c r="A153" s="72" t="inlineStr">
        <is>
          <t>PKG-17</t>
        </is>
      </c>
      <c r="B153" s="72" t="inlineStr">
        <is>
          <t>Packages</t>
        </is>
      </c>
      <c r="C153" s="62" t="inlineStr">
        <is>
          <t>Package liability</t>
        </is>
      </c>
      <c r="D153" s="66" t="inlineStr">
        <is>
          <t>MVP</t>
        </is>
      </c>
      <c r="E153" s="62" t="inlineStr">
        <is>
          <t>NB-161, NB-232</t>
        </is>
      </c>
      <c r="F153" s="66" t="n">
        <v>2</v>
      </c>
      <c r="G153" s="66">
        <f>IF(F153&gt;0,"Yes","NO")</f>
        <v/>
      </c>
    </row>
    <row r="154" ht="15" customHeight="1" s="51">
      <c r="A154" s="73" t="inlineStr">
        <is>
          <t>PKG-18</t>
        </is>
      </c>
      <c r="B154" s="73" t="inlineStr">
        <is>
          <t>Packages</t>
        </is>
      </c>
      <c r="C154" s="68" t="inlineStr">
        <is>
          <t>Package sales, redemption &amp; recognition</t>
        </is>
      </c>
      <c r="D154" s="69" t="inlineStr">
        <is>
          <t>MVP</t>
        </is>
      </c>
      <c r="E154" s="68" t="inlineStr">
        <is>
          <t>NB-161, NB-232</t>
        </is>
      </c>
      <c r="F154" s="69" t="n">
        <v>2</v>
      </c>
      <c r="G154" s="69">
        <f>IF(F154&gt;0,"Yes","NO")</f>
        <v/>
      </c>
    </row>
    <row r="155" ht="23.85" customHeight="1" s="51">
      <c r="A155" s="72" t="inlineStr">
        <is>
          <t>RCP-04</t>
        </is>
      </c>
      <c r="B155" s="72" t="inlineStr">
        <is>
          <t>Reception</t>
        </is>
      </c>
      <c r="C155" s="62" t="inlineStr">
        <is>
          <t>an owner-only aggregate — no per-patient log, and neither the doctor nor reception sees this</t>
        </is>
      </c>
      <c r="D155" s="66" t="inlineStr">
        <is>
          <t>MVP</t>
        </is>
      </c>
      <c r="E155" s="62" t="inlineStr">
        <is>
          <t>NB-100, NB-236</t>
        </is>
      </c>
      <c r="F155" s="66" t="n">
        <v>2</v>
      </c>
      <c r="G155" s="66">
        <f>IF(F155&gt;0,"Yes","NO")</f>
        <v/>
      </c>
    </row>
    <row r="156" ht="15" customHeight="1" s="51">
      <c r="A156" s="73" t="inlineStr">
        <is>
          <t>RCP-07</t>
        </is>
      </c>
      <c r="B156" s="73" t="inlineStr">
        <is>
          <t>Reception</t>
        </is>
      </c>
      <c r="C156" s="68" t="inlineStr">
        <is>
          <t>NPHIES eligibility-check-lite</t>
        </is>
      </c>
      <c r="D156" s="69" t="inlineStr">
        <is>
          <t>Phase 2</t>
        </is>
      </c>
      <c r="E156" s="68" t="inlineStr">
        <is>
          <t>NB-176</t>
        </is>
      </c>
      <c r="F156" s="69" t="n">
        <v>1</v>
      </c>
      <c r="G156" s="69">
        <f>IF(F156&gt;0,"Yes","NO")</f>
        <v/>
      </c>
    </row>
    <row r="157" ht="15" customHeight="1" s="51">
      <c r="A157" s="72" t="inlineStr">
        <is>
          <t>RCP-08</t>
        </is>
      </c>
      <c r="B157" s="72" t="inlineStr">
        <is>
          <t>Reception</t>
        </is>
      </c>
      <c r="C157" s="62" t="inlineStr">
        <is>
          <t>prepaid link only — desk counter QR collection (RCP-08) is untouched.</t>
        </is>
      </c>
      <c r="D157" s="66" t="inlineStr">
        <is>
          <t>MVP</t>
        </is>
      </c>
      <c r="E157" s="62" t="inlineStr">
        <is>
          <t>NB-169</t>
        </is>
      </c>
      <c r="F157" s="66" t="n">
        <v>1</v>
      </c>
      <c r="G157" s="66">
        <f>IF(F157&gt;0,"Yes","NO")</f>
        <v/>
      </c>
    </row>
    <row r="158" ht="15" customHeight="1" s="51">
      <c r="A158" s="73" t="inlineStr">
        <is>
          <t>RCP-11</t>
        </is>
      </c>
      <c r="B158" s="73" t="inlineStr">
        <is>
          <t>Reception</t>
        </is>
      </c>
      <c r="C158" s="68" t="inlineStr">
        <is>
          <t>Shared WhatsApp inbox with canned replies</t>
        </is>
      </c>
      <c r="D158" s="69" t="inlineStr">
        <is>
          <t>MVP</t>
        </is>
      </c>
      <c r="E158" s="68" t="inlineStr">
        <is>
          <t>NB-018, NB-144, NB-197</t>
        </is>
      </c>
      <c r="F158" s="69" t="n">
        <v>3</v>
      </c>
      <c r="G158" s="69">
        <f>IF(F158&gt;0,"Yes","NO")</f>
        <v/>
      </c>
    </row>
    <row r="159" ht="15" customHeight="1" s="51">
      <c r="A159" s="72" t="inlineStr">
        <is>
          <t>RCP-12</t>
        </is>
      </c>
      <c r="B159" s="72" t="inlineStr">
        <is>
          <t>Reception</t>
        </is>
      </c>
      <c r="C159" s="62" t="inlineStr">
        <is>
          <t>End-of-day desk summary</t>
        </is>
      </c>
      <c r="D159" s="66" t="inlineStr">
        <is>
          <t>MVP</t>
        </is>
      </c>
      <c r="E159" s="62" t="inlineStr">
        <is>
          <t>NB-173</t>
        </is>
      </c>
      <c r="F159" s="66" t="n">
        <v>1</v>
      </c>
      <c r="G159" s="66">
        <f>IF(F159&gt;0,"Yes","NO")</f>
        <v/>
      </c>
    </row>
    <row r="160" ht="23.85" customHeight="1" s="51">
      <c r="A160" s="73" t="inlineStr">
        <is>
          <t>RCP-14</t>
        </is>
      </c>
      <c r="B160" s="73" t="inlineStr">
        <is>
          <t>Reception</t>
        </is>
      </c>
      <c r="C160" s="68" t="inlineStr">
        <is>
          <t>re-checked every 3 seconds — no update within that window turns the pill stale, a dropped connection says so explicitly rather than freezing silently.</t>
        </is>
      </c>
      <c r="D160" s="69" t="inlineStr">
        <is>
          <t>MVP</t>
        </is>
      </c>
      <c r="E160" s="68" t="inlineStr">
        <is>
          <t>NB-069, NB-337, NB-338, NB-339</t>
        </is>
      </c>
      <c r="F160" s="69" t="n">
        <v>4</v>
      </c>
      <c r="G160" s="69">
        <f>IF(F160&gt;0,"Yes","NO")</f>
        <v/>
      </c>
    </row>
    <row r="161" ht="15" customHeight="1" s="51">
      <c r="A161" s="72" t="inlineStr">
        <is>
          <t>SCS-01</t>
        </is>
      </c>
      <c r="B161" s="72" t="inlineStr">
        <is>
          <t>Sales</t>
        </is>
      </c>
      <c r="C161" s="62" t="inlineStr">
        <is>
          <t>Self-serve trial &amp; conversion funnel</t>
        </is>
      </c>
      <c r="D161" s="66" t="inlineStr">
        <is>
          <t>MVP</t>
        </is>
      </c>
      <c r="E161" s="62" t="inlineStr">
        <is>
          <t>NB-260, NB-275, NB-280</t>
        </is>
      </c>
      <c r="F161" s="66" t="n">
        <v>3</v>
      </c>
      <c r="G161" s="66">
        <f>IF(F161&gt;0,"Yes","NO")</f>
        <v/>
      </c>
    </row>
    <row r="162" ht="15" customHeight="1" s="51">
      <c r="A162" s="73" t="inlineStr">
        <is>
          <t>SCS-02</t>
        </is>
      </c>
      <c r="B162" s="73" t="inlineStr">
        <is>
          <t>Sales</t>
        </is>
      </c>
      <c r="C162" s="68" t="inlineStr">
        <is>
          <t>Low-touch inside sales</t>
        </is>
      </c>
      <c r="D162" s="69" t="inlineStr">
        <is>
          <t>Phase 2</t>
        </is>
      </c>
      <c r="E162" s="68" t="inlineStr">
        <is>
          <t>NB-277, NB-281</t>
        </is>
      </c>
      <c r="F162" s="69" t="n">
        <v>2</v>
      </c>
      <c r="G162" s="69">
        <f>IF(F162&gt;0,"Yes","NO")</f>
        <v/>
      </c>
    </row>
    <row r="163" ht="15" customHeight="1" s="51">
      <c r="A163" s="72" t="inlineStr">
        <is>
          <t>SCS-03</t>
        </is>
      </c>
      <c r="B163" s="72" t="inlineStr">
        <is>
          <t>Sales</t>
        </is>
      </c>
      <c r="C163" s="62" t="inlineStr">
        <is>
          <t>Onboarding success &amp; activation tracking</t>
        </is>
      </c>
      <c r="D163" s="66" t="inlineStr">
        <is>
          <t>Phase 2</t>
        </is>
      </c>
      <c r="E163" s="62" t="inlineStr">
        <is>
          <t>NB-278</t>
        </is>
      </c>
      <c r="F163" s="66" t="n">
        <v>1</v>
      </c>
      <c r="G163" s="66">
        <f>IF(F163&gt;0,"Yes","NO")</f>
        <v/>
      </c>
    </row>
    <row r="164" ht="15" customHeight="1" s="51">
      <c r="A164" s="73" t="inlineStr">
        <is>
          <t>SCS-04</t>
        </is>
      </c>
      <c r="B164" s="73" t="inlineStr">
        <is>
          <t>Sales</t>
        </is>
      </c>
      <c r="C164" s="68" t="inlineStr">
        <is>
          <t>Paid white-glove setup delivery</t>
        </is>
      </c>
      <c r="D164" s="69" t="inlineStr">
        <is>
          <t>Phase 2</t>
        </is>
      </c>
      <c r="E164" s="68" t="inlineStr">
        <is>
          <t>NB-279, NB-281</t>
        </is>
      </c>
      <c r="F164" s="69" t="n">
        <v>2</v>
      </c>
      <c r="G164" s="69">
        <f>IF(F164&gt;0,"Yes","NO")</f>
        <v/>
      </c>
    </row>
    <row r="165" ht="23.85" customHeight="1" s="51">
      <c r="A165" s="72" t="inlineStr">
        <is>
          <t>SSA-01</t>
        </is>
      </c>
      <c r="B165" s="72" t="inlineStr">
        <is>
          <t>SaaS ops</t>
        </is>
      </c>
      <c r="C165" s="62" t="inlineStr">
        <is>
          <t>Tenant provisioning &amp; regions</t>
        </is>
      </c>
      <c r="D165" s="66" t="inlineStr">
        <is>
          <t>MVP</t>
        </is>
      </c>
      <c r="E165" s="62" t="inlineStr">
        <is>
          <t>NB-258, NB-259, NB-260, NB-261, NB-262, NB-270, NB-275, NB-311</t>
        </is>
      </c>
      <c r="F165" s="66" t="n">
        <v>8</v>
      </c>
      <c r="G165" s="66">
        <f>IF(F165&gt;0,"Yes","NO")</f>
        <v/>
      </c>
    </row>
    <row r="166" ht="15" customHeight="1" s="51">
      <c r="A166" s="73" t="inlineStr">
        <is>
          <t>SSA-02</t>
        </is>
      </c>
      <c r="B166" s="73" t="inlineStr">
        <is>
          <t>SaaS ops</t>
        </is>
      </c>
      <c r="C166" s="68" t="inlineStr">
        <is>
          <t>seven SaaS-side roles — no single super-admin does everything</t>
        </is>
      </c>
      <c r="D166" s="69" t="inlineStr">
        <is>
          <t>MVP</t>
        </is>
      </c>
      <c r="E166" s="68" t="inlineStr">
        <is>
          <t>NB-017, NB-054, NB-257, NB-317</t>
        </is>
      </c>
      <c r="F166" s="69" t="n">
        <v>4</v>
      </c>
      <c r="G166" s="69">
        <f>IF(F166&gt;0,"Yes","NO")</f>
        <v/>
      </c>
    </row>
    <row r="167" ht="15" customHeight="1" s="51">
      <c r="A167" s="72" t="inlineStr">
        <is>
          <t>SSA-03</t>
        </is>
      </c>
      <c r="B167" s="72" t="inlineStr">
        <is>
          <t>SaaS ops</t>
        </is>
      </c>
      <c r="C167" s="62" t="inlineStr">
        <is>
          <t>WABA fleet quality monitoring</t>
        </is>
      </c>
      <c r="D167" s="66" t="inlineStr">
        <is>
          <t>MVP</t>
        </is>
      </c>
      <c r="E167" s="62" t="inlineStr">
        <is>
          <t>NB-188, NB-189, NB-190, NB-264</t>
        </is>
      </c>
      <c r="F167" s="66" t="n">
        <v>4</v>
      </c>
      <c r="G167" s="66">
        <f>IF(F167&gt;0,"Yes","NO")</f>
        <v/>
      </c>
    </row>
    <row r="168" ht="15" customHeight="1" s="51">
      <c r="A168" s="73" t="inlineStr">
        <is>
          <t>SSA-04</t>
        </is>
      </c>
      <c r="B168" s="73" t="inlineStr">
        <is>
          <t>SaaS ops</t>
        </is>
      </c>
      <c r="C168" s="68" t="inlineStr">
        <is>
          <t>A support engineer never sees clinical fields — the same overlay:\</t>
        </is>
      </c>
      <c r="D168" s="69" t="inlineStr">
        <is>
          <t>MVP</t>
        </is>
      </c>
      <c r="E168" s="68" t="inlineStr">
        <is>
          <t>NB-266</t>
        </is>
      </c>
      <c r="F168" s="69" t="n">
        <v>1</v>
      </c>
      <c r="G168" s="69">
        <f>IF(F168&gt;0,"Yes","NO")</f>
        <v/>
      </c>
    </row>
    <row r="169" ht="23.85" customHeight="1" s="51">
      <c r="A169" s="72" t="inlineStr">
        <is>
          <t>SSA-05</t>
        </is>
      </c>
      <c r="B169" s="72" t="inlineStr">
        <is>
          <t>SaaS ops</t>
        </is>
      </c>
      <c r="C169" s="62" t="inlineStr">
        <is>
          <t>Security incident ops</t>
        </is>
      </c>
      <c r="D169" s="66" t="inlineStr">
        <is>
          <t>MVP</t>
        </is>
      </c>
      <c r="E169" s="62" t="inlineStr">
        <is>
          <t>NB-249, NB-267, NB-268, NB-273, NB-293</t>
        </is>
      </c>
      <c r="F169" s="66" t="n">
        <v>5</v>
      </c>
      <c r="G169" s="66">
        <f>IF(F169&gt;0,"Yes","NO")</f>
        <v/>
      </c>
    </row>
    <row r="170" ht="15" customHeight="1" s="51">
      <c r="A170" s="73" t="inlineStr">
        <is>
          <t>SSA-06</t>
        </is>
      </c>
      <c r="B170" s="73" t="inlineStr">
        <is>
          <t>SaaS ops</t>
        </is>
      </c>
      <c r="C170" s="68" t="inlineStr">
        <is>
          <t>sync backlog, WhatsApp quality and error rate per clinic</t>
        </is>
      </c>
      <c r="D170" s="69" t="inlineStr">
        <is>
          <t>MVP</t>
        </is>
      </c>
      <c r="E170" s="68" t="inlineStr">
        <is>
          <t>NB-262, NB-263</t>
        </is>
      </c>
      <c r="F170" s="69" t="n">
        <v>2</v>
      </c>
      <c r="G170" s="69">
        <f>IF(F170&gt;0,"Yes","NO")</f>
        <v/>
      </c>
    </row>
    <row r="171" ht="15" customHeight="1" s="51">
      <c r="A171" s="72" t="inlineStr">
        <is>
          <t>SSA-08</t>
        </is>
      </c>
      <c r="B171" s="72" t="inlineStr">
        <is>
          <t>SaaS ops</t>
        </is>
      </c>
      <c r="C171" s="62" t="inlineStr">
        <is>
          <t>raised by owners, staff and doctors — and system alerts raise their own</t>
        </is>
      </c>
      <c r="D171" s="66" t="inlineStr">
        <is>
          <t>MVP</t>
        </is>
      </c>
      <c r="E171" s="62" t="inlineStr">
        <is>
          <t>NB-265, NB-347</t>
        </is>
      </c>
      <c r="F171" s="66" t="n">
        <v>2</v>
      </c>
      <c r="G171" s="66">
        <f>IF(F171&gt;0,"Yes","NO")</f>
        <v/>
      </c>
    </row>
    <row r="172" ht="15" customHeight="1" s="51">
      <c r="A172" s="73" t="inlineStr">
        <is>
          <t>SSA-11</t>
        </is>
      </c>
      <c r="B172" s="73" t="inlineStr">
        <is>
          <t>SaaS ops</t>
        </is>
      </c>
      <c r="C172" s="68" t="inlineStr">
        <is>
          <t>Regulatory watch</t>
        </is>
      </c>
      <c r="D172" s="69" t="inlineStr">
        <is>
          <t>MVP</t>
        </is>
      </c>
      <c r="E172" s="68" t="inlineStr">
        <is>
          <t>NB-256, NB-272</t>
        </is>
      </c>
      <c r="F172" s="69" t="n">
        <v>2</v>
      </c>
      <c r="G172" s="69">
        <f>IF(F172&gt;0,"Yes","NO")</f>
        <v/>
      </c>
    </row>
    <row r="173" ht="15" customHeight="1" s="51">
      <c r="A173" s="72" t="inlineStr">
        <is>
          <t>SYS-01</t>
        </is>
      </c>
      <c r="B173" s="72" t="inlineStr">
        <is>
          <t>Platform</t>
        </is>
      </c>
      <c r="C173" s="62" t="inlineStr">
        <is>
          <t>SMS fallback fired now</t>
        </is>
      </c>
      <c r="D173" s="66" t="inlineStr">
        <is>
          <t>MVP</t>
        </is>
      </c>
      <c r="E173" s="62" t="inlineStr">
        <is>
          <t>NB-007, NB-040, NB-193, NB-330</t>
        </is>
      </c>
      <c r="F173" s="66" t="n">
        <v>4</v>
      </c>
      <c r="G173" s="66">
        <f>IF(F173&gt;0,"Yes","NO")</f>
        <v/>
      </c>
    </row>
    <row r="174" ht="23.85" customHeight="1" s="51">
      <c r="A174" s="73" t="inlineStr">
        <is>
          <t>SYS-02</t>
        </is>
      </c>
      <c r="B174" s="73" t="inlineStr">
        <is>
          <t>Platform</t>
        </is>
      </c>
      <c r="C174" s="68" t="inlineStr">
        <is>
          <t>effective immediately (under 1 minute) on every surface — a queued reminder was just suppressed.</t>
        </is>
      </c>
      <c r="D174" s="69" t="inlineStr">
        <is>
          <t>MVP</t>
        </is>
      </c>
      <c r="E174" s="68" t="inlineStr">
        <is>
          <t>NB-196, NB-199</t>
        </is>
      </c>
      <c r="F174" s="69" t="n">
        <v>2</v>
      </c>
      <c r="G174" s="69">
        <f>IF(F174&gt;0,"Yes","NO")</f>
        <v/>
      </c>
    </row>
    <row r="175" ht="15" customHeight="1" s="51">
      <c r="A175" s="72" t="inlineStr">
        <is>
          <t>SYS-03</t>
        </is>
      </c>
      <c r="B175" s="72" t="inlineStr">
        <is>
          <t>Platform</t>
        </is>
      </c>
      <c r="C175" s="62" t="inlineStr">
        <is>
          <t>prayer-window reconciliation</t>
        </is>
      </c>
      <c r="D175" s="66" t="inlineStr">
        <is>
          <t>MVP</t>
        </is>
      </c>
      <c r="E175" s="62" t="inlineStr">
        <is>
          <t>NB-100, NB-195</t>
        </is>
      </c>
      <c r="F175" s="66" t="n">
        <v>2</v>
      </c>
      <c r="G175" s="66">
        <f>IF(F175&gt;0,"Yes","NO")</f>
        <v/>
      </c>
    </row>
    <row r="176" ht="15" customHeight="1" s="51">
      <c r="A176" s="73" t="inlineStr">
        <is>
          <t>SYS-04</t>
        </is>
      </c>
      <c r="B176" s="73" t="inlineStr">
        <is>
          <t>Platform</t>
        </is>
      </c>
      <c r="C176" s="68" t="inlineStr">
        <is>
          <t>visit-type durations from the clinic template; prayer breaks from SYS-04</t>
        </is>
      </c>
      <c r="D176" s="69" t="inlineStr">
        <is>
          <t>MVP</t>
        </is>
      </c>
      <c r="E176" s="68" t="inlineStr">
        <is>
          <t>NB-036, NB-090</t>
        </is>
      </c>
      <c r="F176" s="69" t="n">
        <v>2</v>
      </c>
      <c r="G176" s="69">
        <f>IF(F176&gt;0,"Yes","NO")</f>
        <v/>
      </c>
    </row>
    <row r="177" ht="23.85" customHeight="1" s="51">
      <c r="A177" s="72" t="inlineStr">
        <is>
          <t>SYS-06</t>
        </is>
      </c>
      <c r="B177" s="72" t="inlineStr">
        <is>
          <t>Platform</t>
        </is>
      </c>
      <c r="C177" s="62" t="inlineStr">
        <is>
          <t>financial/clinical-safety class — explicit confirmation required</t>
        </is>
      </c>
      <c r="D177" s="66" t="inlineStr">
        <is>
          <t>MVP</t>
        </is>
      </c>
      <c r="E177" s="62" t="inlineStr">
        <is>
          <t>NB-005, NB-056, NB-099, NB-165, NB-268</t>
        </is>
      </c>
      <c r="F177" s="66" t="n">
        <v>5</v>
      </c>
      <c r="G177" s="66">
        <f>IF(F177&gt;0,"Yes","NO")</f>
        <v/>
      </c>
    </row>
    <row r="178" ht="15" customHeight="1" s="51">
      <c r="A178" s="73" t="inlineStr">
        <is>
          <t>SYS-07</t>
        </is>
      </c>
      <c r="B178" s="73" t="inlineStr">
        <is>
          <t>Platform</t>
        </is>
      </c>
      <c r="C178" s="68" t="inlineStr">
        <is>
          <t>Reason (shared SYS-07 list)</t>
        </is>
      </c>
      <c r="D178" s="69" t="inlineStr">
        <is>
          <t>MVP</t>
        </is>
      </c>
      <c r="E178" s="68" t="inlineStr">
        <is>
          <t>NB-011, NB-097, NB-205</t>
        </is>
      </c>
      <c r="F178" s="69" t="n">
        <v>3</v>
      </c>
      <c r="G178" s="69">
        <f>IF(F178&gt;0,"Yes","NO")</f>
        <v/>
      </c>
    </row>
    <row r="179" ht="15" customHeight="1" s="51">
      <c r="A179" s="72" t="inlineStr">
        <is>
          <t>SYS-09</t>
        </is>
      </c>
      <c r="B179" s="72" t="inlineStr">
        <is>
          <t>Platform</t>
        </is>
      </c>
      <c r="C179" s="62" t="inlineStr">
        <is>
          <t>SYS-09 · GST invoice for the full package, delivered in-thread.</t>
        </is>
      </c>
      <c r="D179" s="66" t="inlineStr">
        <is>
          <t>MVP</t>
        </is>
      </c>
      <c r="E179" s="62" t="inlineStr">
        <is>
          <t>NB-163, NB-164, NB-210, NB-322</t>
        </is>
      </c>
      <c r="F179" s="66" t="n">
        <v>4</v>
      </c>
      <c r="G179" s="66">
        <f>IF(F179&gt;0,"Yes","NO")</f>
        <v/>
      </c>
    </row>
    <row r="180" ht="15" customHeight="1" s="51">
      <c r="A180" s="73" t="inlineStr">
        <is>
          <t>SYS-10</t>
        </is>
      </c>
      <c r="B180" s="73" t="inlineStr">
        <is>
          <t>Platform</t>
        </is>
      </c>
      <c r="C180" s="68" t="inlineStr">
        <is>
          <t>Full claims via certified middleware — Phase 3 (SYS-10). Not designed here.</t>
        </is>
      </c>
      <c r="D180" s="69" t="inlineStr">
        <is>
          <t>MVP</t>
        </is>
      </c>
      <c r="E180" s="68" t="inlineStr">
        <is>
          <t>NB-175, NB-176</t>
        </is>
      </c>
      <c r="F180" s="69" t="n">
        <v>2</v>
      </c>
      <c r="G180" s="69">
        <f>IF(F180&gt;0,"Yes","NO")</f>
        <v/>
      </c>
    </row>
    <row r="181" ht="15" customHeight="1" s="51">
      <c r="A181" s="72" t="inlineStr">
        <is>
          <t>SYS-11</t>
        </is>
      </c>
      <c r="B181" s="72" t="inlineStr">
        <is>
          <t>Platform</t>
        </is>
      </c>
      <c r="C181" s="62" t="inlineStr">
        <is>
          <t>Photo follow-up reminders</t>
        </is>
      </c>
      <c r="D181" s="66" t="inlineStr">
        <is>
          <t>Phase 2</t>
        </is>
      </c>
      <c r="E181" s="62" t="inlineStr">
        <is>
          <t>NB-130</t>
        </is>
      </c>
      <c r="F181" s="66" t="n">
        <v>1</v>
      </c>
      <c r="G181" s="66">
        <f>IF(F181&gt;0,"Yes","NO")</f>
        <v/>
      </c>
    </row>
    <row r="182" ht="23.85" customHeight="1" s="51">
      <c r="A182" s="73" t="inlineStr">
        <is>
          <t>SYS-13</t>
        </is>
      </c>
      <c r="B182" s="73" t="inlineStr">
        <is>
          <t>Platform</t>
        </is>
      </c>
      <c r="C182" s="68" t="inlineStr">
        <is>
          <t>Review logged to the audit trail</t>
        </is>
      </c>
      <c r="D182" s="69" t="inlineStr">
        <is>
          <t>MVP</t>
        </is>
      </c>
      <c r="E182" s="68" t="inlineStr">
        <is>
          <t>NB-003, NB-048, NB-104, NB-238, NB-239, NB-272, NB-293</t>
        </is>
      </c>
      <c r="F182" s="69" t="n">
        <v>7</v>
      </c>
      <c r="G182" s="69">
        <f>IF(F182&gt;0,"Yes","NO")</f>
        <v/>
      </c>
    </row>
    <row r="183" ht="23.85" customHeight="1" s="51">
      <c r="A183" s="72" t="inlineStr">
        <is>
          <t>SYS-14</t>
        </is>
      </c>
      <c r="B183" s="72" t="inlineStr">
        <is>
          <t>Platform</t>
        </is>
      </c>
      <c r="C183" s="62" t="inlineStr">
        <is>
          <t>installation secrets are separate from tenant integrations — two different roles</t>
        </is>
      </c>
      <c r="D183" s="66" t="inlineStr">
        <is>
          <t>MVP</t>
        </is>
      </c>
      <c r="E183" s="62" t="inlineStr">
        <is>
          <t>NB-001, NB-002, NB-009, NB-254, NB-271</t>
        </is>
      </c>
      <c r="F183" s="66" t="n">
        <v>5</v>
      </c>
      <c r="G183" s="66">
        <f>IF(F183&gt;0,"Yes","NO")</f>
        <v/>
      </c>
    </row>
    <row r="184" ht="23.85" customHeight="1" s="51">
      <c r="A184" s="73" t="inlineStr">
        <is>
          <t>SYS-18</t>
        </is>
      </c>
      <c r="B184" s="73" t="inlineStr">
        <is>
          <t>Platform</t>
        </is>
      </c>
      <c r="C184" s="68" t="inlineStr">
        <is>
          <t>a file is never sent into open chat</t>
        </is>
      </c>
      <c r="D184" s="69" t="inlineStr">
        <is>
          <t>MVP</t>
        </is>
      </c>
      <c r="E184" s="68" t="inlineStr">
        <is>
          <t>NB-075, NB-076, NB-117, NB-174, NB-213, NB-292</t>
        </is>
      </c>
      <c r="F184" s="69" t="n">
        <v>6</v>
      </c>
      <c r="G184" s="69">
        <f>IF(F184&gt;0,"Yes","NO")</f>
        <v/>
      </c>
    </row>
    <row r="185" ht="23.85" customHeight="1" s="51">
      <c r="A185" s="72" t="inlineStr">
        <is>
          <t>SYS-20</t>
        </is>
      </c>
      <c r="B185" s="72" t="inlineStr">
        <is>
          <t>Platform</t>
        </is>
      </c>
      <c r="C185" s="62" t="inlineStr">
        <is>
          <t>upgrade/downgrade without data loss, under 5 minutes</t>
        </is>
      </c>
      <c r="D185" s="66" t="inlineStr">
        <is>
          <t>MVP</t>
        </is>
      </c>
      <c r="E185" s="62" t="inlineStr">
        <is>
          <t>NB-008, NB-067, NB-269, NB-280, NB-326</t>
        </is>
      </c>
      <c r="F185" s="66" t="n">
        <v>5</v>
      </c>
      <c r="G185" s="66">
        <f>IF(F185&gt;0,"Yes","NO")</f>
        <v/>
      </c>
    </row>
    <row r="186" ht="15" customHeight="1" s="51">
      <c r="A186" s="73" t="inlineStr">
        <is>
          <t>SYS-21</t>
        </is>
      </c>
      <c r="B186" s="73" t="inlineStr">
        <is>
          <t>Platform</t>
        </is>
      </c>
      <c r="C186" s="68" t="inlineStr">
        <is>
          <t>every step is skippable and resumable</t>
        </is>
      </c>
      <c r="D186" s="69" t="inlineStr">
        <is>
          <t>MVP</t>
        </is>
      </c>
      <c r="E186" s="68" t="inlineStr">
        <is>
          <t>NB-060, NB-258</t>
        </is>
      </c>
      <c r="F186" s="69" t="n">
        <v>2</v>
      </c>
      <c r="G186" s="69">
        <f>IF(F186&gt;0,"Yes","NO")</f>
        <v/>
      </c>
    </row>
    <row r="187" ht="23.85" customHeight="1" s="51">
      <c r="A187" s="72" t="inlineStr">
        <is>
          <t>SYS-22</t>
        </is>
      </c>
      <c r="B187" s="72" t="inlineStr">
        <is>
          <t>Platform</t>
        </is>
      </c>
      <c r="C187" s="62" t="inlineStr">
        <is>
          <t>A sync queue means a clinic working offline, not lost data. WhatsApp quality under 60% puts sending at risk.</t>
        </is>
      </c>
      <c r="D187" s="66" t="inlineStr">
        <is>
          <t>MVP</t>
        </is>
      </c>
      <c r="E187" s="62" t="inlineStr">
        <is>
          <t>NB-263, NB-328</t>
        </is>
      </c>
      <c r="F187" s="66" t="n">
        <v>2</v>
      </c>
      <c r="G187" s="66">
        <f>IF(F187&gt;0,"Yes","NO")</f>
        <v/>
      </c>
    </row>
    <row r="188" ht="15" customHeight="1" s="51">
      <c r="A188" s="73" t="inlineStr">
        <is>
          <t>SYS-23</t>
        </is>
      </c>
      <c r="B188" s="73" t="inlineStr">
        <is>
          <t>Platform</t>
        </is>
      </c>
      <c r="C188" s="68" t="inlineStr">
        <is>
          <t>self-serve import &amp; export</t>
        </is>
      </c>
      <c r="D188" s="69" t="inlineStr">
        <is>
          <t>MVP</t>
        </is>
      </c>
      <c r="E188" s="68" t="inlineStr">
        <is>
          <t>NB-027, NB-068, NB-237, NB-342</t>
        </is>
      </c>
      <c r="F188" s="69" t="n">
        <v>4</v>
      </c>
      <c r="G188" s="69">
        <f>IF(F188&gt;0,"Yes","NO")</f>
        <v/>
      </c>
    </row>
    <row r="189" ht="15" customHeight="1" s="51">
      <c r="A189" s="72" t="inlineStr">
        <is>
          <t>SYS-25</t>
        </is>
      </c>
      <c r="B189" s="72" t="inlineStr">
        <is>
          <t>Platform</t>
        </is>
      </c>
      <c r="C189" s="62" t="inlineStr">
        <is>
          <t>The clinic never touches Meta Business Manager — SYS-25 is a fully managed service.</t>
        </is>
      </c>
      <c r="D189" s="66" t="inlineStr">
        <is>
          <t>MVP</t>
        </is>
      </c>
      <c r="E189" s="62" t="inlineStr">
        <is>
          <t>NB-188</t>
        </is>
      </c>
      <c r="F189" s="66" t="n">
        <v>1</v>
      </c>
      <c r="G189" s="66">
        <f>IF(F189&gt;0,"Yes","NO")</f>
        <v/>
      </c>
    </row>
    <row r="191" ht="15" customHeight="1" s="51">
      <c r="A191" s="54" t="inlineStr">
        <is>
          <t>TOTAL</t>
        </is>
      </c>
      <c r="C191" s="54">
        <f>"Requirements in register: "&amp;COUNTA(A5:A189)</f>
        <v/>
      </c>
      <c r="F191" s="54">
        <f>SUM(F5:F189)</f>
        <v/>
      </c>
      <c r="G191" s="57">
        <f>COUNTIF(G5:G189,"NO")&amp;" uncovered"</f>
        <v/>
      </c>
    </row>
  </sheetData>
  <autoFilter ref="A4:G189"/>
  <conditionalFormatting sqref="G5:G189">
    <cfRule type="cellIs" rank="0" priority="2" equalAverage="0" operator="equal" aboveAverage="0" dxfId="13" text="" percent="0" bottom="0">
      <formula>"NO"</formula>
    </cfRule>
    <cfRule type="cellIs" rank="0" priority="3" equalAverage="0" operator="equal" aboveAverage="0" dxfId="7" text="" percent="0" bottom="0">
      <formula>"Yes"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50" min="1" max="1"/>
    <col width="8" customWidth="1" style="50" min="2" max="2"/>
    <col width="12" customWidth="1" style="50" min="3" max="3"/>
    <col width="11" customWidth="1" style="50" min="4" max="4"/>
    <col width="15" customWidth="1" style="50" min="5" max="5"/>
    <col width="7" customWidth="1" style="50" min="6" max="6"/>
    <col width="8" customWidth="1" style="50" min="7" max="7"/>
    <col width="7" customWidth="1" style="50" min="8" max="9"/>
    <col width="9" customWidth="1" style="50" min="10" max="11"/>
    <col width="12" customWidth="1" style="50" min="12" max="13"/>
    <col width="7" customWidth="1" style="50" min="14" max="14"/>
    <col width="12" customWidth="1" style="50" min="15" max="15"/>
  </cols>
  <sheetData>
    <row r="1" ht="19.7" customHeight="1" s="51">
      <c r="A1" s="52" t="inlineStr">
        <is>
          <t>Epic rollup — every cell is a formula reading the Backlog tab</t>
        </is>
      </c>
    </row>
    <row r="3" ht="23.85" customHeight="1" s="51">
      <c r="A3" s="59" t="inlineStr">
        <is>
          <t>Epic</t>
        </is>
      </c>
      <c r="B3" s="59" t="inlineStr">
        <is>
          <t>Tasks</t>
        </is>
      </c>
      <c r="C3" s="59" t="inlineStr">
        <is>
          <t>Story Points</t>
        </is>
      </c>
      <c r="D3" s="59" t="inlineStr">
        <is>
          <t>% of Total</t>
        </is>
      </c>
      <c r="E3" s="59" t="inlineStr">
        <is>
          <t>Est. Person-Days</t>
        </is>
      </c>
      <c r="F3" s="59" t="inlineStr">
        <is>
          <t>Must</t>
        </is>
      </c>
      <c r="G3" s="59" t="inlineStr">
        <is>
          <t>Should</t>
        </is>
      </c>
      <c r="H3" s="59" t="inlineStr">
        <is>
          <t>Could</t>
        </is>
      </c>
      <c r="I3" s="59" t="inlineStr">
        <is>
          <t>MVP</t>
        </is>
      </c>
      <c r="J3" s="59" t="inlineStr">
        <is>
          <t>Phase 2</t>
        </is>
      </c>
      <c r="K3" s="59" t="inlineStr">
        <is>
          <t>Phase 3</t>
        </is>
      </c>
      <c r="L3" s="59" t="inlineStr">
        <is>
          <t>First Sprint</t>
        </is>
      </c>
      <c r="M3" s="59" t="inlineStr">
        <is>
          <t>Last Sprint</t>
        </is>
      </c>
      <c r="N3" s="59" t="inlineStr">
        <is>
          <t>Done</t>
        </is>
      </c>
      <c r="O3" s="59" t="inlineStr">
        <is>
          <t>% Complete</t>
        </is>
      </c>
    </row>
    <row r="4" ht="15" customHeight="1" s="51">
      <c r="A4" s="60" t="inlineStr">
        <is>
          <t>E01 Foundation &amp; Architecture</t>
        </is>
      </c>
      <c r="B4" s="66">
        <f>COUNTIF(Backlog!$B$2:$B$352,$A4)</f>
        <v/>
      </c>
      <c r="C4" s="66">
        <f>SUMIF(Backlog!$B$2:$B$352,$A4,Backlog!$L$2:$L$352)</f>
        <v/>
      </c>
      <c r="D4" s="74">
        <f>IFERROR(C4/$C$33,0)</f>
        <v/>
      </c>
      <c r="E4" s="67">
        <f>C4*README!$B$32</f>
        <v/>
      </c>
      <c r="F4" s="66">
        <f>COUNTIFS(Backlog!$B$2:$B$352,$A4,Backlog!$J$2:$J$352,"Must")</f>
        <v/>
      </c>
      <c r="G4" s="66">
        <f>COUNTIFS(Backlog!$B$2:$B$352,$A4,Backlog!$J$2:$J$352,"Should")</f>
        <v/>
      </c>
      <c r="H4" s="66">
        <f>COUNTIFS(Backlog!$B$2:$B$352,$A4,Backlog!$J$2:$J$352,"Could")</f>
        <v/>
      </c>
      <c r="I4" s="66">
        <f>COUNTIFS(Backlog!$B$2:$B$352,$A4,Backlog!$K$2:$K$352,"MVP")</f>
        <v/>
      </c>
      <c r="J4" s="66">
        <f>COUNTIFS(Backlog!$B$2:$B$352,$A4,Backlog!$K$2:$K$352,"Phase 2")</f>
        <v/>
      </c>
      <c r="K4" s="66">
        <f>COUNTIFS(Backlog!$B$2:$B$352,$A4,Backlog!$K$2:$K$352,"Phase 3")</f>
        <v/>
      </c>
      <c r="L4" s="66">
        <f>_xlfn.MINIFS(Backlog!$M$2:$M$352,Backlog!$B$2:$B$352,$A4)</f>
        <v/>
      </c>
      <c r="M4" s="66">
        <f>_xlfn.MAXIFS(Backlog!$M$2:$M$352,Backlog!$B$2:$B$352,$A4)</f>
        <v/>
      </c>
      <c r="N4" s="66">
        <f>COUNTIFS(Backlog!$B$2:$B$352,$A4,Backlog!$R$2:$R$352,"Done")</f>
        <v/>
      </c>
      <c r="O4" s="74">
        <f>IFERROR(N4/B4,0)</f>
        <v/>
      </c>
    </row>
    <row r="5" ht="15" customHeight="1" s="51">
      <c r="A5" s="60" t="inlineStr">
        <is>
          <t>E02 Design System &amp; UI Kit</t>
        </is>
      </c>
      <c r="B5" s="66">
        <f>COUNTIF(Backlog!$B$2:$B$352,$A5)</f>
        <v/>
      </c>
      <c r="C5" s="66">
        <f>SUMIF(Backlog!$B$2:$B$352,$A5,Backlog!$L$2:$L$352)</f>
        <v/>
      </c>
      <c r="D5" s="74">
        <f>IFERROR(C5/$C$33,0)</f>
        <v/>
      </c>
      <c r="E5" s="67">
        <f>C5*README!$B$32</f>
        <v/>
      </c>
      <c r="F5" s="66">
        <f>COUNTIFS(Backlog!$B$2:$B$352,$A5,Backlog!$J$2:$J$352,"Must")</f>
        <v/>
      </c>
      <c r="G5" s="66">
        <f>COUNTIFS(Backlog!$B$2:$B$352,$A5,Backlog!$J$2:$J$352,"Should")</f>
        <v/>
      </c>
      <c r="H5" s="66">
        <f>COUNTIFS(Backlog!$B$2:$B$352,$A5,Backlog!$J$2:$J$352,"Could")</f>
        <v/>
      </c>
      <c r="I5" s="66">
        <f>COUNTIFS(Backlog!$B$2:$B$352,$A5,Backlog!$K$2:$K$352,"MVP")</f>
        <v/>
      </c>
      <c r="J5" s="66">
        <f>COUNTIFS(Backlog!$B$2:$B$352,$A5,Backlog!$K$2:$K$352,"Phase 2")</f>
        <v/>
      </c>
      <c r="K5" s="66">
        <f>COUNTIFS(Backlog!$B$2:$B$352,$A5,Backlog!$K$2:$K$352,"Phase 3")</f>
        <v/>
      </c>
      <c r="L5" s="66">
        <f>_xlfn.MINIFS(Backlog!$M$2:$M$352,Backlog!$B$2:$B$352,$A5)</f>
        <v/>
      </c>
      <c r="M5" s="66">
        <f>_xlfn.MAXIFS(Backlog!$M$2:$M$352,Backlog!$B$2:$B$352,$A5)</f>
        <v/>
      </c>
      <c r="N5" s="66">
        <f>COUNTIFS(Backlog!$B$2:$B$352,$A5,Backlog!$R$2:$R$352,"Done")</f>
        <v/>
      </c>
      <c r="O5" s="74">
        <f>IFERROR(N5/B5,0)</f>
        <v/>
      </c>
    </row>
    <row r="6" ht="15" customHeight="1" s="51">
      <c r="A6" s="60" t="inlineStr">
        <is>
          <t>E03 Chart &amp; Data-Visualisation System</t>
        </is>
      </c>
      <c r="B6" s="66">
        <f>COUNTIF(Backlog!$B$2:$B$352,$A6)</f>
        <v/>
      </c>
      <c r="C6" s="66">
        <f>SUMIF(Backlog!$B$2:$B$352,$A6,Backlog!$L$2:$L$352)</f>
        <v/>
      </c>
      <c r="D6" s="74">
        <f>IFERROR(C6/$C$33,0)</f>
        <v/>
      </c>
      <c r="E6" s="67">
        <f>C6*README!$B$32</f>
        <v/>
      </c>
      <c r="F6" s="66">
        <f>COUNTIFS(Backlog!$B$2:$B$352,$A6,Backlog!$J$2:$J$352,"Must")</f>
        <v/>
      </c>
      <c r="G6" s="66">
        <f>COUNTIFS(Backlog!$B$2:$B$352,$A6,Backlog!$J$2:$J$352,"Should")</f>
        <v/>
      </c>
      <c r="H6" s="66">
        <f>COUNTIFS(Backlog!$B$2:$B$352,$A6,Backlog!$J$2:$J$352,"Could")</f>
        <v/>
      </c>
      <c r="I6" s="66">
        <f>COUNTIFS(Backlog!$B$2:$B$352,$A6,Backlog!$K$2:$K$352,"MVP")</f>
        <v/>
      </c>
      <c r="J6" s="66">
        <f>COUNTIFS(Backlog!$B$2:$B$352,$A6,Backlog!$K$2:$K$352,"Phase 2")</f>
        <v/>
      </c>
      <c r="K6" s="66">
        <f>COUNTIFS(Backlog!$B$2:$B$352,$A6,Backlog!$K$2:$K$352,"Phase 3")</f>
        <v/>
      </c>
      <c r="L6" s="66">
        <f>_xlfn.MINIFS(Backlog!$M$2:$M$352,Backlog!$B$2:$B$352,$A6)</f>
        <v/>
      </c>
      <c r="M6" s="66">
        <f>_xlfn.MAXIFS(Backlog!$M$2:$M$352,Backlog!$B$2:$B$352,$A6)</f>
        <v/>
      </c>
      <c r="N6" s="66">
        <f>COUNTIFS(Backlog!$B$2:$B$352,$A6,Backlog!$R$2:$R$352,"Done")</f>
        <v/>
      </c>
      <c r="O6" s="74">
        <f>IFERROR(N6/B6,0)</f>
        <v/>
      </c>
    </row>
    <row r="7" ht="15" customHeight="1" s="51">
      <c r="A7" s="60" t="inlineStr">
        <is>
          <t>E04 Localisation, RTL &amp; i18n</t>
        </is>
      </c>
      <c r="B7" s="66">
        <f>COUNTIF(Backlog!$B$2:$B$352,$A7)</f>
        <v/>
      </c>
      <c r="C7" s="66">
        <f>SUMIF(Backlog!$B$2:$B$352,$A7,Backlog!$L$2:$L$352)</f>
        <v/>
      </c>
      <c r="D7" s="74">
        <f>IFERROR(C7/$C$33,0)</f>
        <v/>
      </c>
      <c r="E7" s="67">
        <f>C7*README!$B$32</f>
        <v/>
      </c>
      <c r="F7" s="66">
        <f>COUNTIFS(Backlog!$B$2:$B$352,$A7,Backlog!$J$2:$J$352,"Must")</f>
        <v/>
      </c>
      <c r="G7" s="66">
        <f>COUNTIFS(Backlog!$B$2:$B$352,$A7,Backlog!$J$2:$J$352,"Should")</f>
        <v/>
      </c>
      <c r="H7" s="66">
        <f>COUNTIFS(Backlog!$B$2:$B$352,$A7,Backlog!$J$2:$J$352,"Could")</f>
        <v/>
      </c>
      <c r="I7" s="66">
        <f>COUNTIFS(Backlog!$B$2:$B$352,$A7,Backlog!$K$2:$K$352,"MVP")</f>
        <v/>
      </c>
      <c r="J7" s="66">
        <f>COUNTIFS(Backlog!$B$2:$B$352,$A7,Backlog!$K$2:$K$352,"Phase 2")</f>
        <v/>
      </c>
      <c r="K7" s="66">
        <f>COUNTIFS(Backlog!$B$2:$B$352,$A7,Backlog!$K$2:$K$352,"Phase 3")</f>
        <v/>
      </c>
      <c r="L7" s="66">
        <f>_xlfn.MINIFS(Backlog!$M$2:$M$352,Backlog!$B$2:$B$352,$A7)</f>
        <v/>
      </c>
      <c r="M7" s="66">
        <f>_xlfn.MAXIFS(Backlog!$M$2:$M$352,Backlog!$B$2:$B$352,$A7)</f>
        <v/>
      </c>
      <c r="N7" s="66">
        <f>COUNTIFS(Backlog!$B$2:$B$352,$A7,Backlog!$R$2:$R$352,"Done")</f>
        <v/>
      </c>
      <c r="O7" s="74">
        <f>IFERROR(N7/B7,0)</f>
        <v/>
      </c>
    </row>
    <row r="8" ht="15" customHeight="1" s="51">
      <c r="A8" s="60" t="inlineStr">
        <is>
          <t>E05 Identity, Auth &amp; Session</t>
        </is>
      </c>
      <c r="B8" s="66">
        <f>COUNTIF(Backlog!$B$2:$B$352,$A8)</f>
        <v/>
      </c>
      <c r="C8" s="66">
        <f>SUMIF(Backlog!$B$2:$B$352,$A8,Backlog!$L$2:$L$352)</f>
        <v/>
      </c>
      <c r="D8" s="74">
        <f>IFERROR(C8/$C$33,0)</f>
        <v/>
      </c>
      <c r="E8" s="67">
        <f>C8*README!$B$32</f>
        <v/>
      </c>
      <c r="F8" s="66">
        <f>COUNTIFS(Backlog!$B$2:$B$352,$A8,Backlog!$J$2:$J$352,"Must")</f>
        <v/>
      </c>
      <c r="G8" s="66">
        <f>COUNTIFS(Backlog!$B$2:$B$352,$A8,Backlog!$J$2:$J$352,"Should")</f>
        <v/>
      </c>
      <c r="H8" s="66">
        <f>COUNTIFS(Backlog!$B$2:$B$352,$A8,Backlog!$J$2:$J$352,"Could")</f>
        <v/>
      </c>
      <c r="I8" s="66">
        <f>COUNTIFS(Backlog!$B$2:$B$352,$A8,Backlog!$K$2:$K$352,"MVP")</f>
        <v/>
      </c>
      <c r="J8" s="66">
        <f>COUNTIFS(Backlog!$B$2:$B$352,$A8,Backlog!$K$2:$K$352,"Phase 2")</f>
        <v/>
      </c>
      <c r="K8" s="66">
        <f>COUNTIFS(Backlog!$B$2:$B$352,$A8,Backlog!$K$2:$K$352,"Phase 3")</f>
        <v/>
      </c>
      <c r="L8" s="66">
        <f>_xlfn.MINIFS(Backlog!$M$2:$M$352,Backlog!$B$2:$B$352,$A8)</f>
        <v/>
      </c>
      <c r="M8" s="66">
        <f>_xlfn.MAXIFS(Backlog!$M$2:$M$352,Backlog!$B$2:$B$352,$A8)</f>
        <v/>
      </c>
      <c r="N8" s="66">
        <f>COUNTIFS(Backlog!$B$2:$B$352,$A8,Backlog!$R$2:$R$352,"Done")</f>
        <v/>
      </c>
      <c r="O8" s="74">
        <f>IFERROR(N8/B8,0)</f>
        <v/>
      </c>
    </row>
    <row r="9" ht="15" customHeight="1" s="51">
      <c r="A9" s="60" t="inlineStr">
        <is>
          <t>E06 RBAC &amp; Permissions</t>
        </is>
      </c>
      <c r="B9" s="66">
        <f>COUNTIF(Backlog!$B$2:$B$352,$A9)</f>
        <v/>
      </c>
      <c r="C9" s="66">
        <f>SUMIF(Backlog!$B$2:$B$352,$A9,Backlog!$L$2:$L$352)</f>
        <v/>
      </c>
      <c r="D9" s="74">
        <f>IFERROR(C9/$C$33,0)</f>
        <v/>
      </c>
      <c r="E9" s="67">
        <f>C9*README!$B$32</f>
        <v/>
      </c>
      <c r="F9" s="66">
        <f>COUNTIFS(Backlog!$B$2:$B$352,$A9,Backlog!$J$2:$J$352,"Must")</f>
        <v/>
      </c>
      <c r="G9" s="66">
        <f>COUNTIFS(Backlog!$B$2:$B$352,$A9,Backlog!$J$2:$J$352,"Should")</f>
        <v/>
      </c>
      <c r="H9" s="66">
        <f>COUNTIFS(Backlog!$B$2:$B$352,$A9,Backlog!$J$2:$J$352,"Could")</f>
        <v/>
      </c>
      <c r="I9" s="66">
        <f>COUNTIFS(Backlog!$B$2:$B$352,$A9,Backlog!$K$2:$K$352,"MVP")</f>
        <v/>
      </c>
      <c r="J9" s="66">
        <f>COUNTIFS(Backlog!$B$2:$B$352,$A9,Backlog!$K$2:$K$352,"Phase 2")</f>
        <v/>
      </c>
      <c r="K9" s="66">
        <f>COUNTIFS(Backlog!$B$2:$B$352,$A9,Backlog!$K$2:$K$352,"Phase 3")</f>
        <v/>
      </c>
      <c r="L9" s="66">
        <f>_xlfn.MINIFS(Backlog!$M$2:$M$352,Backlog!$B$2:$B$352,$A9)</f>
        <v/>
      </c>
      <c r="M9" s="66">
        <f>_xlfn.MAXIFS(Backlog!$M$2:$M$352,Backlog!$B$2:$B$352,$A9)</f>
        <v/>
      </c>
      <c r="N9" s="66">
        <f>COUNTIFS(Backlog!$B$2:$B$352,$A9,Backlog!$R$2:$R$352,"Done")</f>
        <v/>
      </c>
      <c r="O9" s="74">
        <f>IFERROR(N9/B9,0)</f>
        <v/>
      </c>
    </row>
    <row r="10" ht="15" customHeight="1" s="51">
      <c r="A10" s="60" t="inlineStr">
        <is>
          <t>E07 Clinic Setup &amp; Administration</t>
        </is>
      </c>
      <c r="B10" s="66">
        <f>COUNTIF(Backlog!$B$2:$B$352,$A10)</f>
        <v/>
      </c>
      <c r="C10" s="66">
        <f>SUMIF(Backlog!$B$2:$B$352,$A10,Backlog!$L$2:$L$352)</f>
        <v/>
      </c>
      <c r="D10" s="74">
        <f>IFERROR(C10/$C$33,0)</f>
        <v/>
      </c>
      <c r="E10" s="67">
        <f>C10*README!$B$32</f>
        <v/>
      </c>
      <c r="F10" s="66">
        <f>COUNTIFS(Backlog!$B$2:$B$352,$A10,Backlog!$J$2:$J$352,"Must")</f>
        <v/>
      </c>
      <c r="G10" s="66">
        <f>COUNTIFS(Backlog!$B$2:$B$352,$A10,Backlog!$J$2:$J$352,"Should")</f>
        <v/>
      </c>
      <c r="H10" s="66">
        <f>COUNTIFS(Backlog!$B$2:$B$352,$A10,Backlog!$J$2:$J$352,"Could")</f>
        <v/>
      </c>
      <c r="I10" s="66">
        <f>COUNTIFS(Backlog!$B$2:$B$352,$A10,Backlog!$K$2:$K$352,"MVP")</f>
        <v/>
      </c>
      <c r="J10" s="66">
        <f>COUNTIFS(Backlog!$B$2:$B$352,$A10,Backlog!$K$2:$K$352,"Phase 2")</f>
        <v/>
      </c>
      <c r="K10" s="66">
        <f>COUNTIFS(Backlog!$B$2:$B$352,$A10,Backlog!$K$2:$K$352,"Phase 3")</f>
        <v/>
      </c>
      <c r="L10" s="66">
        <f>_xlfn.MINIFS(Backlog!$M$2:$M$352,Backlog!$B$2:$B$352,$A10)</f>
        <v/>
      </c>
      <c r="M10" s="66">
        <f>_xlfn.MAXIFS(Backlog!$M$2:$M$352,Backlog!$B$2:$B$352,$A10)</f>
        <v/>
      </c>
      <c r="N10" s="66">
        <f>COUNTIFS(Backlog!$B$2:$B$352,$A10,Backlog!$R$2:$R$352,"Done")</f>
        <v/>
      </c>
      <c r="O10" s="74">
        <f>IFERROR(N10/B10,0)</f>
        <v/>
      </c>
    </row>
    <row r="11" ht="15" customHeight="1" s="51">
      <c r="A11" s="60" t="inlineStr">
        <is>
          <t>E08 Patient Records &amp; Registration</t>
        </is>
      </c>
      <c r="B11" s="66">
        <f>COUNTIF(Backlog!$B$2:$B$352,$A11)</f>
        <v/>
      </c>
      <c r="C11" s="66">
        <f>SUMIF(Backlog!$B$2:$B$352,$A11,Backlog!$L$2:$L$352)</f>
        <v/>
      </c>
      <c r="D11" s="74">
        <f>IFERROR(C11/$C$33,0)</f>
        <v/>
      </c>
      <c r="E11" s="67">
        <f>C11*README!$B$32</f>
        <v/>
      </c>
      <c r="F11" s="66">
        <f>COUNTIFS(Backlog!$B$2:$B$352,$A11,Backlog!$J$2:$J$352,"Must")</f>
        <v/>
      </c>
      <c r="G11" s="66">
        <f>COUNTIFS(Backlog!$B$2:$B$352,$A11,Backlog!$J$2:$J$352,"Should")</f>
        <v/>
      </c>
      <c r="H11" s="66">
        <f>COUNTIFS(Backlog!$B$2:$B$352,$A11,Backlog!$J$2:$J$352,"Could")</f>
        <v/>
      </c>
      <c r="I11" s="66">
        <f>COUNTIFS(Backlog!$B$2:$B$352,$A11,Backlog!$K$2:$K$352,"MVP")</f>
        <v/>
      </c>
      <c r="J11" s="66">
        <f>COUNTIFS(Backlog!$B$2:$B$352,$A11,Backlog!$K$2:$K$352,"Phase 2")</f>
        <v/>
      </c>
      <c r="K11" s="66">
        <f>COUNTIFS(Backlog!$B$2:$B$352,$A11,Backlog!$K$2:$K$352,"Phase 3")</f>
        <v/>
      </c>
      <c r="L11" s="66">
        <f>_xlfn.MINIFS(Backlog!$M$2:$M$352,Backlog!$B$2:$B$352,$A11)</f>
        <v/>
      </c>
      <c r="M11" s="66">
        <f>_xlfn.MAXIFS(Backlog!$M$2:$M$352,Backlog!$B$2:$B$352,$A11)</f>
        <v/>
      </c>
      <c r="N11" s="66">
        <f>COUNTIFS(Backlog!$B$2:$B$352,$A11,Backlog!$R$2:$R$352,"Done")</f>
        <v/>
      </c>
      <c r="O11" s="74">
        <f>IFERROR(N11/B11,0)</f>
        <v/>
      </c>
    </row>
    <row r="12" ht="15" customHeight="1" s="51">
      <c r="A12" s="60" t="inlineStr">
        <is>
          <t>E09 Caregiver, Family &amp; Guardianship</t>
        </is>
      </c>
      <c r="B12" s="66">
        <f>COUNTIF(Backlog!$B$2:$B$352,$A12)</f>
        <v/>
      </c>
      <c r="C12" s="66">
        <f>SUMIF(Backlog!$B$2:$B$352,$A12,Backlog!$L$2:$L$352)</f>
        <v/>
      </c>
      <c r="D12" s="74">
        <f>IFERROR(C12/$C$33,0)</f>
        <v/>
      </c>
      <c r="E12" s="67">
        <f>C12*README!$B$32</f>
        <v/>
      </c>
      <c r="F12" s="66">
        <f>COUNTIFS(Backlog!$B$2:$B$352,$A12,Backlog!$J$2:$J$352,"Must")</f>
        <v/>
      </c>
      <c r="G12" s="66">
        <f>COUNTIFS(Backlog!$B$2:$B$352,$A12,Backlog!$J$2:$J$352,"Should")</f>
        <v/>
      </c>
      <c r="H12" s="66">
        <f>COUNTIFS(Backlog!$B$2:$B$352,$A12,Backlog!$J$2:$J$352,"Could")</f>
        <v/>
      </c>
      <c r="I12" s="66">
        <f>COUNTIFS(Backlog!$B$2:$B$352,$A12,Backlog!$K$2:$K$352,"MVP")</f>
        <v/>
      </c>
      <c r="J12" s="66">
        <f>COUNTIFS(Backlog!$B$2:$B$352,$A12,Backlog!$K$2:$K$352,"Phase 2")</f>
        <v/>
      </c>
      <c r="K12" s="66">
        <f>COUNTIFS(Backlog!$B$2:$B$352,$A12,Backlog!$K$2:$K$352,"Phase 3")</f>
        <v/>
      </c>
      <c r="L12" s="66">
        <f>_xlfn.MINIFS(Backlog!$M$2:$M$352,Backlog!$B$2:$B$352,$A12)</f>
        <v/>
      </c>
      <c r="M12" s="66">
        <f>_xlfn.MAXIFS(Backlog!$M$2:$M$352,Backlog!$B$2:$B$352,$A12)</f>
        <v/>
      </c>
      <c r="N12" s="66">
        <f>COUNTIFS(Backlog!$B$2:$B$352,$A12,Backlog!$R$2:$R$352,"Done")</f>
        <v/>
      </c>
      <c r="O12" s="74">
        <f>IFERROR(N12/B12,0)</f>
        <v/>
      </c>
    </row>
    <row r="13" ht="15" customHeight="1" s="51">
      <c r="A13" s="60" t="inlineStr">
        <is>
          <t>E10 Queue, Scheduling &amp; Availability</t>
        </is>
      </c>
      <c r="B13" s="66">
        <f>COUNTIF(Backlog!$B$2:$B$352,$A13)</f>
        <v/>
      </c>
      <c r="C13" s="66">
        <f>SUMIF(Backlog!$B$2:$B$352,$A13,Backlog!$L$2:$L$352)</f>
        <v/>
      </c>
      <c r="D13" s="74">
        <f>IFERROR(C13/$C$33,0)</f>
        <v/>
      </c>
      <c r="E13" s="67">
        <f>C13*README!$B$32</f>
        <v/>
      </c>
      <c r="F13" s="66">
        <f>COUNTIFS(Backlog!$B$2:$B$352,$A13,Backlog!$J$2:$J$352,"Must")</f>
        <v/>
      </c>
      <c r="G13" s="66">
        <f>COUNTIFS(Backlog!$B$2:$B$352,$A13,Backlog!$J$2:$J$352,"Should")</f>
        <v/>
      </c>
      <c r="H13" s="66">
        <f>COUNTIFS(Backlog!$B$2:$B$352,$A13,Backlog!$J$2:$J$352,"Could")</f>
        <v/>
      </c>
      <c r="I13" s="66">
        <f>COUNTIFS(Backlog!$B$2:$B$352,$A13,Backlog!$K$2:$K$352,"MVP")</f>
        <v/>
      </c>
      <c r="J13" s="66">
        <f>COUNTIFS(Backlog!$B$2:$B$352,$A13,Backlog!$K$2:$K$352,"Phase 2")</f>
        <v/>
      </c>
      <c r="K13" s="66">
        <f>COUNTIFS(Backlog!$B$2:$B$352,$A13,Backlog!$K$2:$K$352,"Phase 3")</f>
        <v/>
      </c>
      <c r="L13" s="66">
        <f>_xlfn.MINIFS(Backlog!$M$2:$M$352,Backlog!$B$2:$B$352,$A13)</f>
        <v/>
      </c>
      <c r="M13" s="66">
        <f>_xlfn.MAXIFS(Backlog!$M$2:$M$352,Backlog!$B$2:$B$352,$A13)</f>
        <v/>
      </c>
      <c r="N13" s="66">
        <f>COUNTIFS(Backlog!$B$2:$B$352,$A13,Backlog!$R$2:$R$352,"Done")</f>
        <v/>
      </c>
      <c r="O13" s="74">
        <f>IFERROR(N13/B13,0)</f>
        <v/>
      </c>
    </row>
    <row r="14" ht="15" customHeight="1" s="51">
      <c r="A14" s="60" t="inlineStr">
        <is>
          <t>E11 Clinical Workspace</t>
        </is>
      </c>
      <c r="B14" s="66">
        <f>COUNTIF(Backlog!$B$2:$B$352,$A14)</f>
        <v/>
      </c>
      <c r="C14" s="66">
        <f>SUMIF(Backlog!$B$2:$B$352,$A14,Backlog!$L$2:$L$352)</f>
        <v/>
      </c>
      <c r="D14" s="74">
        <f>IFERROR(C14/$C$33,0)</f>
        <v/>
      </c>
      <c r="E14" s="67">
        <f>C14*README!$B$32</f>
        <v/>
      </c>
      <c r="F14" s="66">
        <f>COUNTIFS(Backlog!$B$2:$B$352,$A14,Backlog!$J$2:$J$352,"Must")</f>
        <v/>
      </c>
      <c r="G14" s="66">
        <f>COUNTIFS(Backlog!$B$2:$B$352,$A14,Backlog!$J$2:$J$352,"Should")</f>
        <v/>
      </c>
      <c r="H14" s="66">
        <f>COUNTIFS(Backlog!$B$2:$B$352,$A14,Backlog!$J$2:$J$352,"Could")</f>
        <v/>
      </c>
      <c r="I14" s="66">
        <f>COUNTIFS(Backlog!$B$2:$B$352,$A14,Backlog!$K$2:$K$352,"MVP")</f>
        <v/>
      </c>
      <c r="J14" s="66">
        <f>COUNTIFS(Backlog!$B$2:$B$352,$A14,Backlog!$K$2:$K$352,"Phase 2")</f>
        <v/>
      </c>
      <c r="K14" s="66">
        <f>COUNTIFS(Backlog!$B$2:$B$352,$A14,Backlog!$K$2:$K$352,"Phase 3")</f>
        <v/>
      </c>
      <c r="L14" s="66">
        <f>_xlfn.MINIFS(Backlog!$M$2:$M$352,Backlog!$B$2:$B$352,$A14)</f>
        <v/>
      </c>
      <c r="M14" s="66">
        <f>_xlfn.MAXIFS(Backlog!$M$2:$M$352,Backlog!$B$2:$B$352,$A14)</f>
        <v/>
      </c>
      <c r="N14" s="66">
        <f>COUNTIFS(Backlog!$B$2:$B$352,$A14,Backlog!$R$2:$R$352,"Done")</f>
        <v/>
      </c>
      <c r="O14" s="74">
        <f>IFERROR(N14/B14,0)</f>
        <v/>
      </c>
    </row>
    <row r="15" ht="15" customHeight="1" s="51">
      <c r="A15" s="60" t="inlineStr">
        <is>
          <t>E12 Specialty Workspaces</t>
        </is>
      </c>
      <c r="B15" s="66">
        <f>COUNTIF(Backlog!$B$2:$B$352,$A15)</f>
        <v/>
      </c>
      <c r="C15" s="66">
        <f>SUMIF(Backlog!$B$2:$B$352,$A15,Backlog!$L$2:$L$352)</f>
        <v/>
      </c>
      <c r="D15" s="74">
        <f>IFERROR(C15/$C$33,0)</f>
        <v/>
      </c>
      <c r="E15" s="67">
        <f>C15*README!$B$32</f>
        <v/>
      </c>
      <c r="F15" s="66">
        <f>COUNTIFS(Backlog!$B$2:$B$352,$A15,Backlog!$J$2:$J$352,"Must")</f>
        <v/>
      </c>
      <c r="G15" s="66">
        <f>COUNTIFS(Backlog!$B$2:$B$352,$A15,Backlog!$J$2:$J$352,"Should")</f>
        <v/>
      </c>
      <c r="H15" s="66">
        <f>COUNTIFS(Backlog!$B$2:$B$352,$A15,Backlog!$J$2:$J$352,"Could")</f>
        <v/>
      </c>
      <c r="I15" s="66">
        <f>COUNTIFS(Backlog!$B$2:$B$352,$A15,Backlog!$K$2:$K$352,"MVP")</f>
        <v/>
      </c>
      <c r="J15" s="66">
        <f>COUNTIFS(Backlog!$B$2:$B$352,$A15,Backlog!$K$2:$K$352,"Phase 2")</f>
        <v/>
      </c>
      <c r="K15" s="66">
        <f>COUNTIFS(Backlog!$B$2:$B$352,$A15,Backlog!$K$2:$K$352,"Phase 3")</f>
        <v/>
      </c>
      <c r="L15" s="66">
        <f>_xlfn.MINIFS(Backlog!$M$2:$M$352,Backlog!$B$2:$B$352,$A15)</f>
        <v/>
      </c>
      <c r="M15" s="66">
        <f>_xlfn.MAXIFS(Backlog!$M$2:$M$352,Backlog!$B$2:$B$352,$A15)</f>
        <v/>
      </c>
      <c r="N15" s="66">
        <f>COUNTIFS(Backlog!$B$2:$B$352,$A15,Backlog!$R$2:$R$352,"Done")</f>
        <v/>
      </c>
      <c r="O15" s="74">
        <f>IFERROR(N15/B15,0)</f>
        <v/>
      </c>
    </row>
    <row r="16" ht="15" customHeight="1" s="51">
      <c r="A16" s="60" t="inlineStr">
        <is>
          <t>E13 Nursing, Orders &amp; Triage</t>
        </is>
      </c>
      <c r="B16" s="66">
        <f>COUNTIF(Backlog!$B$2:$B$352,$A16)</f>
        <v/>
      </c>
      <c r="C16" s="66">
        <f>SUMIF(Backlog!$B$2:$B$352,$A16,Backlog!$L$2:$L$352)</f>
        <v/>
      </c>
      <c r="D16" s="74">
        <f>IFERROR(C16/$C$33,0)</f>
        <v/>
      </c>
      <c r="E16" s="67">
        <f>C16*README!$B$32</f>
        <v/>
      </c>
      <c r="F16" s="66">
        <f>COUNTIFS(Backlog!$B$2:$B$352,$A16,Backlog!$J$2:$J$352,"Must")</f>
        <v/>
      </c>
      <c r="G16" s="66">
        <f>COUNTIFS(Backlog!$B$2:$B$352,$A16,Backlog!$J$2:$J$352,"Should")</f>
        <v/>
      </c>
      <c r="H16" s="66">
        <f>COUNTIFS(Backlog!$B$2:$B$352,$A16,Backlog!$J$2:$J$352,"Could")</f>
        <v/>
      </c>
      <c r="I16" s="66">
        <f>COUNTIFS(Backlog!$B$2:$B$352,$A16,Backlog!$K$2:$K$352,"MVP")</f>
        <v/>
      </c>
      <c r="J16" s="66">
        <f>COUNTIFS(Backlog!$B$2:$B$352,$A16,Backlog!$K$2:$K$352,"Phase 2")</f>
        <v/>
      </c>
      <c r="K16" s="66">
        <f>COUNTIFS(Backlog!$B$2:$B$352,$A16,Backlog!$K$2:$K$352,"Phase 3")</f>
        <v/>
      </c>
      <c r="L16" s="66">
        <f>_xlfn.MINIFS(Backlog!$M$2:$M$352,Backlog!$B$2:$B$352,$A16)</f>
        <v/>
      </c>
      <c r="M16" s="66">
        <f>_xlfn.MAXIFS(Backlog!$M$2:$M$352,Backlog!$B$2:$B$352,$A16)</f>
        <v/>
      </c>
      <c r="N16" s="66">
        <f>COUNTIFS(Backlog!$B$2:$B$352,$A16,Backlog!$R$2:$R$352,"Done")</f>
        <v/>
      </c>
      <c r="O16" s="74">
        <f>IFERROR(N16/B16,0)</f>
        <v/>
      </c>
    </row>
    <row r="17" ht="15" customHeight="1" s="51">
      <c r="A17" s="60" t="inlineStr">
        <is>
          <t>E14 Treatment Packages</t>
        </is>
      </c>
      <c r="B17" s="66">
        <f>COUNTIF(Backlog!$B$2:$B$352,$A17)</f>
        <v/>
      </c>
      <c r="C17" s="66">
        <f>SUMIF(Backlog!$B$2:$B$352,$A17,Backlog!$L$2:$L$352)</f>
        <v/>
      </c>
      <c r="D17" s="74">
        <f>IFERROR(C17/$C$33,0)</f>
        <v/>
      </c>
      <c r="E17" s="67">
        <f>C17*README!$B$32</f>
        <v/>
      </c>
      <c r="F17" s="66">
        <f>COUNTIFS(Backlog!$B$2:$B$352,$A17,Backlog!$J$2:$J$352,"Must")</f>
        <v/>
      </c>
      <c r="G17" s="66">
        <f>COUNTIFS(Backlog!$B$2:$B$352,$A17,Backlog!$J$2:$J$352,"Should")</f>
        <v/>
      </c>
      <c r="H17" s="66">
        <f>COUNTIFS(Backlog!$B$2:$B$352,$A17,Backlog!$J$2:$J$352,"Could")</f>
        <v/>
      </c>
      <c r="I17" s="66">
        <f>COUNTIFS(Backlog!$B$2:$B$352,$A17,Backlog!$K$2:$K$352,"MVP")</f>
        <v/>
      </c>
      <c r="J17" s="66">
        <f>COUNTIFS(Backlog!$B$2:$B$352,$A17,Backlog!$K$2:$K$352,"Phase 2")</f>
        <v/>
      </c>
      <c r="K17" s="66">
        <f>COUNTIFS(Backlog!$B$2:$B$352,$A17,Backlog!$K$2:$K$352,"Phase 3")</f>
        <v/>
      </c>
      <c r="L17" s="66">
        <f>_xlfn.MINIFS(Backlog!$M$2:$M$352,Backlog!$B$2:$B$352,$A17)</f>
        <v/>
      </c>
      <c r="M17" s="66">
        <f>_xlfn.MAXIFS(Backlog!$M$2:$M$352,Backlog!$B$2:$B$352,$A17)</f>
        <v/>
      </c>
      <c r="N17" s="66">
        <f>COUNTIFS(Backlog!$B$2:$B$352,$A17,Backlog!$R$2:$R$352,"Done")</f>
        <v/>
      </c>
      <c r="O17" s="74">
        <f>IFERROR(N17/B17,0)</f>
        <v/>
      </c>
    </row>
    <row r="18" ht="15" customHeight="1" s="51">
      <c r="A18" s="60" t="inlineStr">
        <is>
          <t>E15 Billing, Tax &amp; Payments</t>
        </is>
      </c>
      <c r="B18" s="66">
        <f>COUNTIF(Backlog!$B$2:$B$352,$A18)</f>
        <v/>
      </c>
      <c r="C18" s="66">
        <f>SUMIF(Backlog!$B$2:$B$352,$A18,Backlog!$L$2:$L$352)</f>
        <v/>
      </c>
      <c r="D18" s="74">
        <f>IFERROR(C18/$C$33,0)</f>
        <v/>
      </c>
      <c r="E18" s="67">
        <f>C18*README!$B$32</f>
        <v/>
      </c>
      <c r="F18" s="66">
        <f>COUNTIFS(Backlog!$B$2:$B$352,$A18,Backlog!$J$2:$J$352,"Must")</f>
        <v/>
      </c>
      <c r="G18" s="66">
        <f>COUNTIFS(Backlog!$B$2:$B$352,$A18,Backlog!$J$2:$J$352,"Should")</f>
        <v/>
      </c>
      <c r="H18" s="66">
        <f>COUNTIFS(Backlog!$B$2:$B$352,$A18,Backlog!$J$2:$J$352,"Could")</f>
        <v/>
      </c>
      <c r="I18" s="66">
        <f>COUNTIFS(Backlog!$B$2:$B$352,$A18,Backlog!$K$2:$K$352,"MVP")</f>
        <v/>
      </c>
      <c r="J18" s="66">
        <f>COUNTIFS(Backlog!$B$2:$B$352,$A18,Backlog!$K$2:$K$352,"Phase 2")</f>
        <v/>
      </c>
      <c r="K18" s="66">
        <f>COUNTIFS(Backlog!$B$2:$B$352,$A18,Backlog!$K$2:$K$352,"Phase 3")</f>
        <v/>
      </c>
      <c r="L18" s="66">
        <f>_xlfn.MINIFS(Backlog!$M$2:$M$352,Backlog!$B$2:$B$352,$A18)</f>
        <v/>
      </c>
      <c r="M18" s="66">
        <f>_xlfn.MAXIFS(Backlog!$M$2:$M$352,Backlog!$B$2:$B$352,$A18)</f>
        <v/>
      </c>
      <c r="N18" s="66">
        <f>COUNTIFS(Backlog!$B$2:$B$352,$A18,Backlog!$R$2:$R$352,"Done")</f>
        <v/>
      </c>
      <c r="O18" s="74">
        <f>IFERROR(N18/B18,0)</f>
        <v/>
      </c>
    </row>
    <row r="19" ht="15" customHeight="1" s="51">
      <c r="A19" s="60" t="inlineStr">
        <is>
          <t>E16 Pharmacy</t>
        </is>
      </c>
      <c r="B19" s="66">
        <f>COUNTIF(Backlog!$B$2:$B$352,$A19)</f>
        <v/>
      </c>
      <c r="C19" s="66">
        <f>SUMIF(Backlog!$B$2:$B$352,$A19,Backlog!$L$2:$L$352)</f>
        <v/>
      </c>
      <c r="D19" s="74">
        <f>IFERROR(C19/$C$33,0)</f>
        <v/>
      </c>
      <c r="E19" s="67">
        <f>C19*README!$B$32</f>
        <v/>
      </c>
      <c r="F19" s="66">
        <f>COUNTIFS(Backlog!$B$2:$B$352,$A19,Backlog!$J$2:$J$352,"Must")</f>
        <v/>
      </c>
      <c r="G19" s="66">
        <f>COUNTIFS(Backlog!$B$2:$B$352,$A19,Backlog!$J$2:$J$352,"Should")</f>
        <v/>
      </c>
      <c r="H19" s="66">
        <f>COUNTIFS(Backlog!$B$2:$B$352,$A19,Backlog!$J$2:$J$352,"Could")</f>
        <v/>
      </c>
      <c r="I19" s="66">
        <f>COUNTIFS(Backlog!$B$2:$B$352,$A19,Backlog!$K$2:$K$352,"MVP")</f>
        <v/>
      </c>
      <c r="J19" s="66">
        <f>COUNTIFS(Backlog!$B$2:$B$352,$A19,Backlog!$K$2:$K$352,"Phase 2")</f>
        <v/>
      </c>
      <c r="K19" s="66">
        <f>COUNTIFS(Backlog!$B$2:$B$352,$A19,Backlog!$K$2:$K$352,"Phase 3")</f>
        <v/>
      </c>
      <c r="L19" s="66">
        <f>_xlfn.MINIFS(Backlog!$M$2:$M$352,Backlog!$B$2:$B$352,$A19)</f>
        <v/>
      </c>
      <c r="M19" s="66">
        <f>_xlfn.MAXIFS(Backlog!$M$2:$M$352,Backlog!$B$2:$B$352,$A19)</f>
        <v/>
      </c>
      <c r="N19" s="66">
        <f>COUNTIFS(Backlog!$B$2:$B$352,$A19,Backlog!$R$2:$R$352,"Done")</f>
        <v/>
      </c>
      <c r="O19" s="74">
        <f>IFERROR(N19/B19,0)</f>
        <v/>
      </c>
    </row>
    <row r="20" ht="15" customHeight="1" s="51">
      <c r="A20" s="60" t="inlineStr">
        <is>
          <t>E17 Messaging Platform &amp; WhatsApp Infrastructure</t>
        </is>
      </c>
      <c r="B20" s="66">
        <f>COUNTIF(Backlog!$B$2:$B$352,$A20)</f>
        <v/>
      </c>
      <c r="C20" s="66">
        <f>SUMIF(Backlog!$B$2:$B$352,$A20,Backlog!$L$2:$L$352)</f>
        <v/>
      </c>
      <c r="D20" s="74">
        <f>IFERROR(C20/$C$33,0)</f>
        <v/>
      </c>
      <c r="E20" s="67">
        <f>C20*README!$B$32</f>
        <v/>
      </c>
      <c r="F20" s="66">
        <f>COUNTIFS(Backlog!$B$2:$B$352,$A20,Backlog!$J$2:$J$352,"Must")</f>
        <v/>
      </c>
      <c r="G20" s="66">
        <f>COUNTIFS(Backlog!$B$2:$B$352,$A20,Backlog!$J$2:$J$352,"Should")</f>
        <v/>
      </c>
      <c r="H20" s="66">
        <f>COUNTIFS(Backlog!$B$2:$B$352,$A20,Backlog!$J$2:$J$352,"Could")</f>
        <v/>
      </c>
      <c r="I20" s="66">
        <f>COUNTIFS(Backlog!$B$2:$B$352,$A20,Backlog!$K$2:$K$352,"MVP")</f>
        <v/>
      </c>
      <c r="J20" s="66">
        <f>COUNTIFS(Backlog!$B$2:$B$352,$A20,Backlog!$K$2:$K$352,"Phase 2")</f>
        <v/>
      </c>
      <c r="K20" s="66">
        <f>COUNTIFS(Backlog!$B$2:$B$352,$A20,Backlog!$K$2:$K$352,"Phase 3")</f>
        <v/>
      </c>
      <c r="L20" s="66">
        <f>_xlfn.MINIFS(Backlog!$M$2:$M$352,Backlog!$B$2:$B$352,$A20)</f>
        <v/>
      </c>
      <c r="M20" s="66">
        <f>_xlfn.MAXIFS(Backlog!$M$2:$M$352,Backlog!$B$2:$B$352,$A20)</f>
        <v/>
      </c>
      <c r="N20" s="66">
        <f>COUNTIFS(Backlog!$B$2:$B$352,$A20,Backlog!$R$2:$R$352,"Done")</f>
        <v/>
      </c>
      <c r="O20" s="74">
        <f>IFERROR(N20/B20,0)</f>
        <v/>
      </c>
    </row>
    <row r="21" ht="15" customHeight="1" s="51">
      <c r="A21" s="60" t="inlineStr">
        <is>
          <t>E18 Patient WhatsApp Surface</t>
        </is>
      </c>
      <c r="B21" s="66">
        <f>COUNTIF(Backlog!$B$2:$B$352,$A21)</f>
        <v/>
      </c>
      <c r="C21" s="66">
        <f>SUMIF(Backlog!$B$2:$B$352,$A21,Backlog!$L$2:$L$352)</f>
        <v/>
      </c>
      <c r="D21" s="74">
        <f>IFERROR(C21/$C$33,0)</f>
        <v/>
      </c>
      <c r="E21" s="67">
        <f>C21*README!$B$32</f>
        <v/>
      </c>
      <c r="F21" s="66">
        <f>COUNTIFS(Backlog!$B$2:$B$352,$A21,Backlog!$J$2:$J$352,"Must")</f>
        <v/>
      </c>
      <c r="G21" s="66">
        <f>COUNTIFS(Backlog!$B$2:$B$352,$A21,Backlog!$J$2:$J$352,"Should")</f>
        <v/>
      </c>
      <c r="H21" s="66">
        <f>COUNTIFS(Backlog!$B$2:$B$352,$A21,Backlog!$J$2:$J$352,"Could")</f>
        <v/>
      </c>
      <c r="I21" s="66">
        <f>COUNTIFS(Backlog!$B$2:$B$352,$A21,Backlog!$K$2:$K$352,"MVP")</f>
        <v/>
      </c>
      <c r="J21" s="66">
        <f>COUNTIFS(Backlog!$B$2:$B$352,$A21,Backlog!$K$2:$K$352,"Phase 2")</f>
        <v/>
      </c>
      <c r="K21" s="66">
        <f>COUNTIFS(Backlog!$B$2:$B$352,$A21,Backlog!$K$2:$K$352,"Phase 3")</f>
        <v/>
      </c>
      <c r="L21" s="66">
        <f>_xlfn.MINIFS(Backlog!$M$2:$M$352,Backlog!$B$2:$B$352,$A21)</f>
        <v/>
      </c>
      <c r="M21" s="66">
        <f>_xlfn.MAXIFS(Backlog!$M$2:$M$352,Backlog!$B$2:$B$352,$A21)</f>
        <v/>
      </c>
      <c r="N21" s="66">
        <f>COUNTIFS(Backlog!$B$2:$B$352,$A21,Backlog!$R$2:$R$352,"Done")</f>
        <v/>
      </c>
      <c r="O21" s="74">
        <f>IFERROR(N21/B21,0)</f>
        <v/>
      </c>
    </row>
    <row r="22" ht="15" customHeight="1" s="51">
      <c r="A22" s="60" t="inlineStr">
        <is>
          <t>E19 Aggregator &amp; Demand</t>
        </is>
      </c>
      <c r="B22" s="66">
        <f>COUNTIF(Backlog!$B$2:$B$352,$A22)</f>
        <v/>
      </c>
      <c r="C22" s="66">
        <f>SUMIF(Backlog!$B$2:$B$352,$A22,Backlog!$L$2:$L$352)</f>
        <v/>
      </c>
      <c r="D22" s="74">
        <f>IFERROR(C22/$C$33,0)</f>
        <v/>
      </c>
      <c r="E22" s="67">
        <f>C22*README!$B$32</f>
        <v/>
      </c>
      <c r="F22" s="66">
        <f>COUNTIFS(Backlog!$B$2:$B$352,$A22,Backlog!$J$2:$J$352,"Must")</f>
        <v/>
      </c>
      <c r="G22" s="66">
        <f>COUNTIFS(Backlog!$B$2:$B$352,$A22,Backlog!$J$2:$J$352,"Should")</f>
        <v/>
      </c>
      <c r="H22" s="66">
        <f>COUNTIFS(Backlog!$B$2:$B$352,$A22,Backlog!$J$2:$J$352,"Could")</f>
        <v/>
      </c>
      <c r="I22" s="66">
        <f>COUNTIFS(Backlog!$B$2:$B$352,$A22,Backlog!$K$2:$K$352,"MVP")</f>
        <v/>
      </c>
      <c r="J22" s="66">
        <f>COUNTIFS(Backlog!$B$2:$B$352,$A22,Backlog!$K$2:$K$352,"Phase 2")</f>
        <v/>
      </c>
      <c r="K22" s="66">
        <f>COUNTIFS(Backlog!$B$2:$B$352,$A22,Backlog!$K$2:$K$352,"Phase 3")</f>
        <v/>
      </c>
      <c r="L22" s="66">
        <f>_xlfn.MINIFS(Backlog!$M$2:$M$352,Backlog!$B$2:$B$352,$A22)</f>
        <v/>
      </c>
      <c r="M22" s="66">
        <f>_xlfn.MAXIFS(Backlog!$M$2:$M$352,Backlog!$B$2:$B$352,$A22)</f>
        <v/>
      </c>
      <c r="N22" s="66">
        <f>COUNTIFS(Backlog!$B$2:$B$352,$A22,Backlog!$R$2:$R$352,"Done")</f>
        <v/>
      </c>
      <c r="O22" s="74">
        <f>IFERROR(N22/B22,0)</f>
        <v/>
      </c>
    </row>
    <row r="23" ht="15" customHeight="1" s="51">
      <c r="A23" s="60" t="inlineStr">
        <is>
          <t>E20 Owner Insights &amp; Reports</t>
        </is>
      </c>
      <c r="B23" s="66">
        <f>COUNTIF(Backlog!$B$2:$B$352,$A23)</f>
        <v/>
      </c>
      <c r="C23" s="66">
        <f>SUMIF(Backlog!$B$2:$B$352,$A23,Backlog!$L$2:$L$352)</f>
        <v/>
      </c>
      <c r="D23" s="74">
        <f>IFERROR(C23/$C$33,0)</f>
        <v/>
      </c>
      <c r="E23" s="67">
        <f>C23*README!$B$32</f>
        <v/>
      </c>
      <c r="F23" s="66">
        <f>COUNTIFS(Backlog!$B$2:$B$352,$A23,Backlog!$J$2:$J$352,"Must")</f>
        <v/>
      </c>
      <c r="G23" s="66">
        <f>COUNTIFS(Backlog!$B$2:$B$352,$A23,Backlog!$J$2:$J$352,"Should")</f>
        <v/>
      </c>
      <c r="H23" s="66">
        <f>COUNTIFS(Backlog!$B$2:$B$352,$A23,Backlog!$J$2:$J$352,"Could")</f>
        <v/>
      </c>
      <c r="I23" s="66">
        <f>COUNTIFS(Backlog!$B$2:$B$352,$A23,Backlog!$K$2:$K$352,"MVP")</f>
        <v/>
      </c>
      <c r="J23" s="66">
        <f>COUNTIFS(Backlog!$B$2:$B$352,$A23,Backlog!$K$2:$K$352,"Phase 2")</f>
        <v/>
      </c>
      <c r="K23" s="66">
        <f>COUNTIFS(Backlog!$B$2:$B$352,$A23,Backlog!$K$2:$K$352,"Phase 3")</f>
        <v/>
      </c>
      <c r="L23" s="66">
        <f>_xlfn.MINIFS(Backlog!$M$2:$M$352,Backlog!$B$2:$B$352,$A23)</f>
        <v/>
      </c>
      <c r="M23" s="66">
        <f>_xlfn.MAXIFS(Backlog!$M$2:$M$352,Backlog!$B$2:$B$352,$A23)</f>
        <v/>
      </c>
      <c r="N23" s="66">
        <f>COUNTIFS(Backlog!$B$2:$B$352,$A23,Backlog!$R$2:$R$352,"Done")</f>
        <v/>
      </c>
      <c r="O23" s="74">
        <f>IFERROR(N23/B23,0)</f>
        <v/>
      </c>
    </row>
    <row r="24" ht="15" customHeight="1" s="51">
      <c r="A24" s="60" t="inlineStr">
        <is>
          <t>E21 Compliance, Consent &amp; Data Protection</t>
        </is>
      </c>
      <c r="B24" s="66">
        <f>COUNTIF(Backlog!$B$2:$B$352,$A24)</f>
        <v/>
      </c>
      <c r="C24" s="66">
        <f>SUMIF(Backlog!$B$2:$B$352,$A24,Backlog!$L$2:$L$352)</f>
        <v/>
      </c>
      <c r="D24" s="74">
        <f>IFERROR(C24/$C$33,0)</f>
        <v/>
      </c>
      <c r="E24" s="67">
        <f>C24*README!$B$32</f>
        <v/>
      </c>
      <c r="F24" s="66">
        <f>COUNTIFS(Backlog!$B$2:$B$352,$A24,Backlog!$J$2:$J$352,"Must")</f>
        <v/>
      </c>
      <c r="G24" s="66">
        <f>COUNTIFS(Backlog!$B$2:$B$352,$A24,Backlog!$J$2:$J$352,"Should")</f>
        <v/>
      </c>
      <c r="H24" s="66">
        <f>COUNTIFS(Backlog!$B$2:$B$352,$A24,Backlog!$J$2:$J$352,"Could")</f>
        <v/>
      </c>
      <c r="I24" s="66">
        <f>COUNTIFS(Backlog!$B$2:$B$352,$A24,Backlog!$K$2:$K$352,"MVP")</f>
        <v/>
      </c>
      <c r="J24" s="66">
        <f>COUNTIFS(Backlog!$B$2:$B$352,$A24,Backlog!$K$2:$K$352,"Phase 2")</f>
        <v/>
      </c>
      <c r="K24" s="66">
        <f>COUNTIFS(Backlog!$B$2:$B$352,$A24,Backlog!$K$2:$K$352,"Phase 3")</f>
        <v/>
      </c>
      <c r="L24" s="66">
        <f>_xlfn.MINIFS(Backlog!$M$2:$M$352,Backlog!$B$2:$B$352,$A24)</f>
        <v/>
      </c>
      <c r="M24" s="66">
        <f>_xlfn.MAXIFS(Backlog!$M$2:$M$352,Backlog!$B$2:$B$352,$A24)</f>
        <v/>
      </c>
      <c r="N24" s="66">
        <f>COUNTIFS(Backlog!$B$2:$B$352,$A24,Backlog!$R$2:$R$352,"Done")</f>
        <v/>
      </c>
      <c r="O24" s="74">
        <f>IFERROR(N24/B24,0)</f>
        <v/>
      </c>
    </row>
    <row r="25" ht="15" customHeight="1" s="51">
      <c r="A25" s="60" t="inlineStr">
        <is>
          <t>E22 Platform Console — SaaS Operations</t>
        </is>
      </c>
      <c r="B25" s="66">
        <f>COUNTIF(Backlog!$B$2:$B$352,$A25)</f>
        <v/>
      </c>
      <c r="C25" s="66">
        <f>SUMIF(Backlog!$B$2:$B$352,$A25,Backlog!$L$2:$L$352)</f>
        <v/>
      </c>
      <c r="D25" s="74">
        <f>IFERROR(C25/$C$33,0)</f>
        <v/>
      </c>
      <c r="E25" s="67">
        <f>C25*README!$B$32</f>
        <v/>
      </c>
      <c r="F25" s="66">
        <f>COUNTIFS(Backlog!$B$2:$B$352,$A25,Backlog!$J$2:$J$352,"Must")</f>
        <v/>
      </c>
      <c r="G25" s="66">
        <f>COUNTIFS(Backlog!$B$2:$B$352,$A25,Backlog!$J$2:$J$352,"Should")</f>
        <v/>
      </c>
      <c r="H25" s="66">
        <f>COUNTIFS(Backlog!$B$2:$B$352,$A25,Backlog!$J$2:$J$352,"Could")</f>
        <v/>
      </c>
      <c r="I25" s="66">
        <f>COUNTIFS(Backlog!$B$2:$B$352,$A25,Backlog!$K$2:$K$352,"MVP")</f>
        <v/>
      </c>
      <c r="J25" s="66">
        <f>COUNTIFS(Backlog!$B$2:$B$352,$A25,Backlog!$K$2:$K$352,"Phase 2")</f>
        <v/>
      </c>
      <c r="K25" s="66">
        <f>COUNTIFS(Backlog!$B$2:$B$352,$A25,Backlog!$K$2:$K$352,"Phase 3")</f>
        <v/>
      </c>
      <c r="L25" s="66">
        <f>_xlfn.MINIFS(Backlog!$M$2:$M$352,Backlog!$B$2:$B$352,$A25)</f>
        <v/>
      </c>
      <c r="M25" s="66">
        <f>_xlfn.MAXIFS(Backlog!$M$2:$M$352,Backlog!$B$2:$B$352,$A25)</f>
        <v/>
      </c>
      <c r="N25" s="66">
        <f>COUNTIFS(Backlog!$B$2:$B$352,$A25,Backlog!$R$2:$R$352,"Done")</f>
        <v/>
      </c>
      <c r="O25" s="74">
        <f>IFERROR(N25/B25,0)</f>
        <v/>
      </c>
    </row>
    <row r="26" ht="15" customHeight="1" s="51">
      <c r="A26" s="60" t="inlineStr">
        <is>
          <t>E23 Trial, Sales &amp; Growth</t>
        </is>
      </c>
      <c r="B26" s="66">
        <f>COUNTIF(Backlog!$B$2:$B$352,$A26)</f>
        <v/>
      </c>
      <c r="C26" s="66">
        <f>SUMIF(Backlog!$B$2:$B$352,$A26,Backlog!$L$2:$L$352)</f>
        <v/>
      </c>
      <c r="D26" s="74">
        <f>IFERROR(C26/$C$33,0)</f>
        <v/>
      </c>
      <c r="E26" s="67">
        <f>C26*README!$B$32</f>
        <v/>
      </c>
      <c r="F26" s="66">
        <f>COUNTIFS(Backlog!$B$2:$B$352,$A26,Backlog!$J$2:$J$352,"Must")</f>
        <v/>
      </c>
      <c r="G26" s="66">
        <f>COUNTIFS(Backlog!$B$2:$B$352,$A26,Backlog!$J$2:$J$352,"Should")</f>
        <v/>
      </c>
      <c r="H26" s="66">
        <f>COUNTIFS(Backlog!$B$2:$B$352,$A26,Backlog!$J$2:$J$352,"Could")</f>
        <v/>
      </c>
      <c r="I26" s="66">
        <f>COUNTIFS(Backlog!$B$2:$B$352,$A26,Backlog!$K$2:$K$352,"MVP")</f>
        <v/>
      </c>
      <c r="J26" s="66">
        <f>COUNTIFS(Backlog!$B$2:$B$352,$A26,Backlog!$K$2:$K$352,"Phase 2")</f>
        <v/>
      </c>
      <c r="K26" s="66">
        <f>COUNTIFS(Backlog!$B$2:$B$352,$A26,Backlog!$K$2:$K$352,"Phase 3")</f>
        <v/>
      </c>
      <c r="L26" s="66">
        <f>_xlfn.MINIFS(Backlog!$M$2:$M$352,Backlog!$B$2:$B$352,$A26)</f>
        <v/>
      </c>
      <c r="M26" s="66">
        <f>_xlfn.MAXIFS(Backlog!$M$2:$M$352,Backlog!$B$2:$B$352,$A26)</f>
        <v/>
      </c>
      <c r="N26" s="66">
        <f>COUNTIFS(Backlog!$B$2:$B$352,$A26,Backlog!$R$2:$R$352,"Done")</f>
        <v/>
      </c>
      <c r="O26" s="74">
        <f>IFERROR(N26/B26,0)</f>
        <v/>
      </c>
    </row>
    <row r="27" ht="15" customHeight="1" s="51">
      <c r="A27" s="60" t="inlineStr">
        <is>
          <t>E24 Cybersecurity</t>
        </is>
      </c>
      <c r="B27" s="66">
        <f>COUNTIF(Backlog!$B$2:$B$352,$A27)</f>
        <v/>
      </c>
      <c r="C27" s="66">
        <f>SUMIF(Backlog!$B$2:$B$352,$A27,Backlog!$L$2:$L$352)</f>
        <v/>
      </c>
      <c r="D27" s="74">
        <f>IFERROR(C27/$C$33,0)</f>
        <v/>
      </c>
      <c r="E27" s="67">
        <f>C27*README!$B$32</f>
        <v/>
      </c>
      <c r="F27" s="66">
        <f>COUNTIFS(Backlog!$B$2:$B$352,$A27,Backlog!$J$2:$J$352,"Must")</f>
        <v/>
      </c>
      <c r="G27" s="66">
        <f>COUNTIFS(Backlog!$B$2:$B$352,$A27,Backlog!$J$2:$J$352,"Should")</f>
        <v/>
      </c>
      <c r="H27" s="66">
        <f>COUNTIFS(Backlog!$B$2:$B$352,$A27,Backlog!$J$2:$J$352,"Could")</f>
        <v/>
      </c>
      <c r="I27" s="66">
        <f>COUNTIFS(Backlog!$B$2:$B$352,$A27,Backlog!$K$2:$K$352,"MVP")</f>
        <v/>
      </c>
      <c r="J27" s="66">
        <f>COUNTIFS(Backlog!$B$2:$B$352,$A27,Backlog!$K$2:$K$352,"Phase 2")</f>
        <v/>
      </c>
      <c r="K27" s="66">
        <f>COUNTIFS(Backlog!$B$2:$B$352,$A27,Backlog!$K$2:$K$352,"Phase 3")</f>
        <v/>
      </c>
      <c r="L27" s="66">
        <f>_xlfn.MINIFS(Backlog!$M$2:$M$352,Backlog!$B$2:$B$352,$A27)</f>
        <v/>
      </c>
      <c r="M27" s="66">
        <f>_xlfn.MAXIFS(Backlog!$M$2:$M$352,Backlog!$B$2:$B$352,$A27)</f>
        <v/>
      </c>
      <c r="N27" s="66">
        <f>COUNTIFS(Backlog!$B$2:$B$352,$A27,Backlog!$R$2:$R$352,"Done")</f>
        <v/>
      </c>
      <c r="O27" s="74">
        <f>IFERROR(N27/B27,0)</f>
        <v/>
      </c>
    </row>
    <row r="28" ht="15" customHeight="1" s="51">
      <c r="A28" s="60" t="inlineStr">
        <is>
          <t>E25 DevOps &amp; Infrastructure</t>
        </is>
      </c>
      <c r="B28" s="66">
        <f>COUNTIF(Backlog!$B$2:$B$352,$A28)</f>
        <v/>
      </c>
      <c r="C28" s="66">
        <f>SUMIF(Backlog!$B$2:$B$352,$A28,Backlog!$L$2:$L$352)</f>
        <v/>
      </c>
      <c r="D28" s="74">
        <f>IFERROR(C28/$C$33,0)</f>
        <v/>
      </c>
      <c r="E28" s="67">
        <f>C28*README!$B$32</f>
        <v/>
      </c>
      <c r="F28" s="66">
        <f>COUNTIFS(Backlog!$B$2:$B$352,$A28,Backlog!$J$2:$J$352,"Must")</f>
        <v/>
      </c>
      <c r="G28" s="66">
        <f>COUNTIFS(Backlog!$B$2:$B$352,$A28,Backlog!$J$2:$J$352,"Should")</f>
        <v/>
      </c>
      <c r="H28" s="66">
        <f>COUNTIFS(Backlog!$B$2:$B$352,$A28,Backlog!$J$2:$J$352,"Could")</f>
        <v/>
      </c>
      <c r="I28" s="66">
        <f>COUNTIFS(Backlog!$B$2:$B$352,$A28,Backlog!$K$2:$K$352,"MVP")</f>
        <v/>
      </c>
      <c r="J28" s="66">
        <f>COUNTIFS(Backlog!$B$2:$B$352,$A28,Backlog!$K$2:$K$352,"Phase 2")</f>
        <v/>
      </c>
      <c r="K28" s="66">
        <f>COUNTIFS(Backlog!$B$2:$B$352,$A28,Backlog!$K$2:$K$352,"Phase 3")</f>
        <v/>
      </c>
      <c r="L28" s="66">
        <f>_xlfn.MINIFS(Backlog!$M$2:$M$352,Backlog!$B$2:$B$352,$A28)</f>
        <v/>
      </c>
      <c r="M28" s="66">
        <f>_xlfn.MAXIFS(Backlog!$M$2:$M$352,Backlog!$B$2:$B$352,$A28)</f>
        <v/>
      </c>
      <c r="N28" s="66">
        <f>COUNTIFS(Backlog!$B$2:$B$352,$A28,Backlog!$R$2:$R$352,"Done")</f>
        <v/>
      </c>
      <c r="O28" s="74">
        <f>IFERROR(N28/B28,0)</f>
        <v/>
      </c>
    </row>
    <row r="29" ht="15" customHeight="1" s="51">
      <c r="A29" s="60" t="inlineStr">
        <is>
          <t>E26 Quality Assurance</t>
        </is>
      </c>
      <c r="B29" s="66">
        <f>COUNTIF(Backlog!$B$2:$B$352,$A29)</f>
        <v/>
      </c>
      <c r="C29" s="66">
        <f>SUMIF(Backlog!$B$2:$B$352,$A29,Backlog!$L$2:$L$352)</f>
        <v/>
      </c>
      <c r="D29" s="74">
        <f>IFERROR(C29/$C$33,0)</f>
        <v/>
      </c>
      <c r="E29" s="67">
        <f>C29*README!$B$32</f>
        <v/>
      </c>
      <c r="F29" s="66">
        <f>COUNTIFS(Backlog!$B$2:$B$352,$A29,Backlog!$J$2:$J$352,"Must")</f>
        <v/>
      </c>
      <c r="G29" s="66">
        <f>COUNTIFS(Backlog!$B$2:$B$352,$A29,Backlog!$J$2:$J$352,"Should")</f>
        <v/>
      </c>
      <c r="H29" s="66">
        <f>COUNTIFS(Backlog!$B$2:$B$352,$A29,Backlog!$J$2:$J$352,"Could")</f>
        <v/>
      </c>
      <c r="I29" s="66">
        <f>COUNTIFS(Backlog!$B$2:$B$352,$A29,Backlog!$K$2:$K$352,"MVP")</f>
        <v/>
      </c>
      <c r="J29" s="66">
        <f>COUNTIFS(Backlog!$B$2:$B$352,$A29,Backlog!$K$2:$K$352,"Phase 2")</f>
        <v/>
      </c>
      <c r="K29" s="66">
        <f>COUNTIFS(Backlog!$B$2:$B$352,$A29,Backlog!$K$2:$K$352,"Phase 3")</f>
        <v/>
      </c>
      <c r="L29" s="66">
        <f>_xlfn.MINIFS(Backlog!$M$2:$M$352,Backlog!$B$2:$B$352,$A29)</f>
        <v/>
      </c>
      <c r="M29" s="66">
        <f>_xlfn.MAXIFS(Backlog!$M$2:$M$352,Backlog!$B$2:$B$352,$A29)</f>
        <v/>
      </c>
      <c r="N29" s="66">
        <f>COUNTIFS(Backlog!$B$2:$B$352,$A29,Backlog!$R$2:$R$352,"Done")</f>
        <v/>
      </c>
      <c r="O29" s="74">
        <f>IFERROR(N29/B29,0)</f>
        <v/>
      </c>
    </row>
    <row r="30" ht="15" customHeight="1" s="51">
      <c r="A30" s="60" t="inlineStr">
        <is>
          <t>E27 Performance, Reliability &amp; Offline</t>
        </is>
      </c>
      <c r="B30" s="66">
        <f>COUNTIF(Backlog!$B$2:$B$352,$A30)</f>
        <v/>
      </c>
      <c r="C30" s="66">
        <f>SUMIF(Backlog!$B$2:$B$352,$A30,Backlog!$L$2:$L$352)</f>
        <v/>
      </c>
      <c r="D30" s="74">
        <f>IFERROR(C30/$C$33,0)</f>
        <v/>
      </c>
      <c r="E30" s="67">
        <f>C30*README!$B$32</f>
        <v/>
      </c>
      <c r="F30" s="66">
        <f>COUNTIFS(Backlog!$B$2:$B$352,$A30,Backlog!$J$2:$J$352,"Must")</f>
        <v/>
      </c>
      <c r="G30" s="66">
        <f>COUNTIFS(Backlog!$B$2:$B$352,$A30,Backlog!$J$2:$J$352,"Should")</f>
        <v/>
      </c>
      <c r="H30" s="66">
        <f>COUNTIFS(Backlog!$B$2:$B$352,$A30,Backlog!$J$2:$J$352,"Could")</f>
        <v/>
      </c>
      <c r="I30" s="66">
        <f>COUNTIFS(Backlog!$B$2:$B$352,$A30,Backlog!$K$2:$K$352,"MVP")</f>
        <v/>
      </c>
      <c r="J30" s="66">
        <f>COUNTIFS(Backlog!$B$2:$B$352,$A30,Backlog!$K$2:$K$352,"Phase 2")</f>
        <v/>
      </c>
      <c r="K30" s="66">
        <f>COUNTIFS(Backlog!$B$2:$B$352,$A30,Backlog!$K$2:$K$352,"Phase 3")</f>
        <v/>
      </c>
      <c r="L30" s="66">
        <f>_xlfn.MINIFS(Backlog!$M$2:$M$352,Backlog!$B$2:$B$352,$A30)</f>
        <v/>
      </c>
      <c r="M30" s="66">
        <f>_xlfn.MAXIFS(Backlog!$M$2:$M$352,Backlog!$B$2:$B$352,$A30)</f>
        <v/>
      </c>
      <c r="N30" s="66">
        <f>COUNTIFS(Backlog!$B$2:$B$352,$A30,Backlog!$R$2:$R$352,"Done")</f>
        <v/>
      </c>
      <c r="O30" s="74">
        <f>IFERROR(N30/B30,0)</f>
        <v/>
      </c>
    </row>
    <row r="31" ht="15" customHeight="1" s="51">
      <c r="A31" s="60" t="inlineStr">
        <is>
          <t>E28 Mobile, Tablet &amp; Display Surfaces</t>
        </is>
      </c>
      <c r="B31" s="66">
        <f>COUNTIF(Backlog!$B$2:$B$352,$A31)</f>
        <v/>
      </c>
      <c r="C31" s="66">
        <f>SUMIF(Backlog!$B$2:$B$352,$A31,Backlog!$L$2:$L$352)</f>
        <v/>
      </c>
      <c r="D31" s="74">
        <f>IFERROR(C31/$C$33,0)</f>
        <v/>
      </c>
      <c r="E31" s="67">
        <f>C31*README!$B$32</f>
        <v/>
      </c>
      <c r="F31" s="66">
        <f>COUNTIFS(Backlog!$B$2:$B$352,$A31,Backlog!$J$2:$J$352,"Must")</f>
        <v/>
      </c>
      <c r="G31" s="66">
        <f>COUNTIFS(Backlog!$B$2:$B$352,$A31,Backlog!$J$2:$J$352,"Should")</f>
        <v/>
      </c>
      <c r="H31" s="66">
        <f>COUNTIFS(Backlog!$B$2:$B$352,$A31,Backlog!$J$2:$J$352,"Could")</f>
        <v/>
      </c>
      <c r="I31" s="66">
        <f>COUNTIFS(Backlog!$B$2:$B$352,$A31,Backlog!$K$2:$K$352,"MVP")</f>
        <v/>
      </c>
      <c r="J31" s="66">
        <f>COUNTIFS(Backlog!$B$2:$B$352,$A31,Backlog!$K$2:$K$352,"Phase 2")</f>
        <v/>
      </c>
      <c r="K31" s="66">
        <f>COUNTIFS(Backlog!$B$2:$B$352,$A31,Backlog!$K$2:$K$352,"Phase 3")</f>
        <v/>
      </c>
      <c r="L31" s="66">
        <f>_xlfn.MINIFS(Backlog!$M$2:$M$352,Backlog!$B$2:$B$352,$A31)</f>
        <v/>
      </c>
      <c r="M31" s="66">
        <f>_xlfn.MAXIFS(Backlog!$M$2:$M$352,Backlog!$B$2:$B$352,$A31)</f>
        <v/>
      </c>
      <c r="N31" s="66">
        <f>COUNTIFS(Backlog!$B$2:$B$352,$A31,Backlog!$R$2:$R$352,"Done")</f>
        <v/>
      </c>
      <c r="O31" s="74">
        <f>IFERROR(N31/B31,0)</f>
        <v/>
      </c>
    </row>
    <row r="32" ht="15" customHeight="1" s="51">
      <c r="A32" s="60" t="inlineStr">
        <is>
          <t>E29 Launch, Migration &amp; Handover</t>
        </is>
      </c>
      <c r="B32" s="66">
        <f>COUNTIF(Backlog!$B$2:$B$352,$A32)</f>
        <v/>
      </c>
      <c r="C32" s="66">
        <f>SUMIF(Backlog!$B$2:$B$352,$A32,Backlog!$L$2:$L$352)</f>
        <v/>
      </c>
      <c r="D32" s="74">
        <f>IFERROR(C32/$C$33,0)</f>
        <v/>
      </c>
      <c r="E32" s="67">
        <f>C32*README!$B$32</f>
        <v/>
      </c>
      <c r="F32" s="66">
        <f>COUNTIFS(Backlog!$B$2:$B$352,$A32,Backlog!$J$2:$J$352,"Must")</f>
        <v/>
      </c>
      <c r="G32" s="66">
        <f>COUNTIFS(Backlog!$B$2:$B$352,$A32,Backlog!$J$2:$J$352,"Should")</f>
        <v/>
      </c>
      <c r="H32" s="66">
        <f>COUNTIFS(Backlog!$B$2:$B$352,$A32,Backlog!$J$2:$J$352,"Could")</f>
        <v/>
      </c>
      <c r="I32" s="66">
        <f>COUNTIFS(Backlog!$B$2:$B$352,$A32,Backlog!$K$2:$K$352,"MVP")</f>
        <v/>
      </c>
      <c r="J32" s="66">
        <f>COUNTIFS(Backlog!$B$2:$B$352,$A32,Backlog!$K$2:$K$352,"Phase 2")</f>
        <v/>
      </c>
      <c r="K32" s="66">
        <f>COUNTIFS(Backlog!$B$2:$B$352,$A32,Backlog!$K$2:$K$352,"Phase 3")</f>
        <v/>
      </c>
      <c r="L32" s="66">
        <f>_xlfn.MINIFS(Backlog!$M$2:$M$352,Backlog!$B$2:$B$352,$A32)</f>
        <v/>
      </c>
      <c r="M32" s="66">
        <f>_xlfn.MAXIFS(Backlog!$M$2:$M$352,Backlog!$B$2:$B$352,$A32)</f>
        <v/>
      </c>
      <c r="N32" s="66">
        <f>COUNTIFS(Backlog!$B$2:$B$352,$A32,Backlog!$R$2:$R$352,"Done")</f>
        <v/>
      </c>
      <c r="O32" s="74">
        <f>IFERROR(N32/B32,0)</f>
        <v/>
      </c>
    </row>
    <row r="33" ht="15" customHeight="1" s="51">
      <c r="A33" s="75" t="inlineStr">
        <is>
          <t>TOTAL</t>
        </is>
      </c>
      <c r="B33" s="76">
        <f>SUM(B4:B32)</f>
        <v/>
      </c>
      <c r="C33" s="76">
        <f>SUM(C4:C32)</f>
        <v/>
      </c>
      <c r="D33" s="77">
        <f>SUM(D4:D32)</f>
        <v/>
      </c>
      <c r="E33" s="78">
        <f>SUM(E4:E32)</f>
        <v/>
      </c>
      <c r="F33" s="76">
        <f>SUM(F4:F32)</f>
        <v/>
      </c>
      <c r="G33" s="76">
        <f>SUM(G4:G32)</f>
        <v/>
      </c>
      <c r="H33" s="76">
        <f>SUM(H4:H32)</f>
        <v/>
      </c>
      <c r="I33" s="76">
        <f>SUM(I4:I32)</f>
        <v/>
      </c>
      <c r="J33" s="76">
        <f>SUM(J4:J32)</f>
        <v/>
      </c>
      <c r="K33" s="76">
        <f>SUM(K4:K32)</f>
        <v/>
      </c>
      <c r="L33" s="76">
        <f>MIN(L4:L32)</f>
        <v/>
      </c>
      <c r="M33" s="76">
        <f>MAX(M4:M32)</f>
        <v/>
      </c>
      <c r="N33" s="76">
        <f>SUM(N4:N32)</f>
        <v/>
      </c>
      <c r="O33" s="77">
        <f>IFERROR(N33/B33,0)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50" min="1" max="1"/>
    <col width="22" customWidth="1" style="50" min="2" max="2"/>
    <col width="9" customWidth="1" style="50" min="3" max="3"/>
    <col width="11" customWidth="1" style="50" min="4" max="4"/>
    <col width="8" customWidth="1" style="50" min="5" max="5"/>
    <col width="13" customWidth="1" style="50" min="6" max="6"/>
    <col width="11" customWidth="1" style="50" min="7" max="7"/>
    <col width="12" customWidth="1" style="50" min="8" max="8"/>
    <col width="16" customWidth="1" style="50" min="9" max="9"/>
    <col width="12" customWidth="1" style="50" min="10" max="10"/>
    <col width="17" customWidth="1" style="50" min="11" max="11"/>
    <col width="15" customWidth="1" style="50" min="12" max="12"/>
  </cols>
  <sheetData>
    <row r="1" ht="19.7" customHeight="1" s="51">
      <c r="A1" s="52" t="inlineStr">
        <is>
          <t>Sprint load against ramped squad capacity</t>
        </is>
      </c>
    </row>
    <row r="2" ht="15" customHeight="1" s="51">
      <c r="A2" s="65" t="inlineStr">
        <is>
          <t>Capacity = squads that sprint x README!B31. Squad counts are blue input cells — change them and every capacity figure moves.</t>
        </is>
      </c>
    </row>
    <row r="4" ht="15" customHeight="1" s="51">
      <c r="A4" s="59" t="inlineStr">
        <is>
          <t>Sprint</t>
        </is>
      </c>
      <c r="B4" s="59" t="inlineStr">
        <is>
          <t>Release Band</t>
        </is>
      </c>
      <c r="C4" s="59" t="inlineStr">
        <is>
          <t>Squads</t>
        </is>
      </c>
      <c r="D4" s="59" t="inlineStr">
        <is>
          <t>Capacity</t>
        </is>
      </c>
      <c r="E4" s="59" t="inlineStr">
        <is>
          <t>Tasks</t>
        </is>
      </c>
      <c r="F4" s="59" t="inlineStr">
        <is>
          <t>Story Points</t>
        </is>
      </c>
      <c r="G4" s="59" t="inlineStr">
        <is>
          <t>Head-room</t>
        </is>
      </c>
      <c r="H4" s="59" t="inlineStr">
        <is>
          <t>Utilisation</t>
        </is>
      </c>
      <c r="I4" s="59" t="inlineStr">
        <is>
          <t>Est. Person-Days</t>
        </is>
      </c>
      <c r="J4" s="59" t="inlineStr">
        <is>
          <t>Must Tasks</t>
        </is>
      </c>
      <c r="K4" s="59" t="inlineStr">
        <is>
          <t>Cumulative Points</t>
        </is>
      </c>
      <c r="L4" s="59" t="inlineStr">
        <is>
          <t>% of Programme</t>
        </is>
      </c>
    </row>
    <row r="5" ht="15" customHeight="1" s="51">
      <c r="A5" s="66" t="n">
        <v>1</v>
      </c>
      <c r="B5" s="79">
        <f>IF(A5&lt;=4,"R1 Foundation",IF(A5&lt;=8,"R2 Core Clinic",IF(A5&lt;=13,"R3 Revenue &amp; Messaging",IF(A5&lt;=18,"R4 Patient &amp; Platform",IF(A5&lt;=20,"R5 Harden","R6 Launch")))))</f>
        <v/>
      </c>
      <c r="C5" s="80" t="n">
        <v>2</v>
      </c>
      <c r="D5" s="66">
        <f>C5*README!$B$31</f>
        <v/>
      </c>
      <c r="E5" s="66">
        <f>COUNTIF(Backlog!$M$2:$M$352,$A5)</f>
        <v/>
      </c>
      <c r="F5" s="66">
        <f>SUMIF(Backlog!$M$2:$M$352,$A5,Backlog!$L$2:$L$352)</f>
        <v/>
      </c>
      <c r="G5" s="66">
        <f>D5-F5</f>
        <v/>
      </c>
      <c r="H5" s="81">
        <f>IFERROR(F5/D5,0)</f>
        <v/>
      </c>
      <c r="I5" s="67">
        <f>F5*README!$B$32</f>
        <v/>
      </c>
      <c r="J5" s="66">
        <f>COUNTIFS(Backlog!$M$2:$M$352,$A5,Backlog!$J$2:$J$352,"Must")</f>
        <v/>
      </c>
      <c r="K5" s="66">
        <f>SUM($F$5:F5)</f>
        <v/>
      </c>
      <c r="L5" s="81">
        <f>IFERROR(K5/SUM($F$5:$F$27),0)</f>
        <v/>
      </c>
    </row>
    <row r="6" ht="15" customHeight="1" s="51">
      <c r="A6" s="66" t="n">
        <v>2</v>
      </c>
      <c r="B6" s="79">
        <f>IF(A6&lt;=4,"R1 Foundation",IF(A6&lt;=8,"R2 Core Clinic",IF(A6&lt;=13,"R3 Revenue &amp; Messaging",IF(A6&lt;=18,"R4 Patient &amp; Platform",IF(A6&lt;=20,"R5 Harden","R6 Launch")))))</f>
        <v/>
      </c>
      <c r="C6" s="80" t="n">
        <v>2</v>
      </c>
      <c r="D6" s="66">
        <f>C6*README!$B$31</f>
        <v/>
      </c>
      <c r="E6" s="66">
        <f>COUNTIF(Backlog!$M$2:$M$352,$A6)</f>
        <v/>
      </c>
      <c r="F6" s="66">
        <f>SUMIF(Backlog!$M$2:$M$352,$A6,Backlog!$L$2:$L$352)</f>
        <v/>
      </c>
      <c r="G6" s="66">
        <f>D6-F6</f>
        <v/>
      </c>
      <c r="H6" s="81">
        <f>IFERROR(F6/D6,0)</f>
        <v/>
      </c>
      <c r="I6" s="67">
        <f>F6*README!$B$32</f>
        <v/>
      </c>
      <c r="J6" s="66">
        <f>COUNTIFS(Backlog!$M$2:$M$352,$A6,Backlog!$J$2:$J$352,"Must")</f>
        <v/>
      </c>
      <c r="K6" s="66">
        <f>SUM($F$5:F6)</f>
        <v/>
      </c>
      <c r="L6" s="81">
        <f>IFERROR(K6/SUM($F$5:$F$27),0)</f>
        <v/>
      </c>
    </row>
    <row r="7" ht="15" customHeight="1" s="51">
      <c r="A7" s="66" t="n">
        <v>3</v>
      </c>
      <c r="B7" s="79">
        <f>IF(A7&lt;=4,"R1 Foundation",IF(A7&lt;=8,"R2 Core Clinic",IF(A7&lt;=13,"R3 Revenue &amp; Messaging",IF(A7&lt;=18,"R4 Patient &amp; Platform",IF(A7&lt;=20,"R5 Harden","R6 Launch")))))</f>
        <v/>
      </c>
      <c r="C7" s="80" t="n">
        <v>2</v>
      </c>
      <c r="D7" s="66">
        <f>C7*README!$B$31</f>
        <v/>
      </c>
      <c r="E7" s="66">
        <f>COUNTIF(Backlog!$M$2:$M$352,$A7)</f>
        <v/>
      </c>
      <c r="F7" s="66">
        <f>SUMIF(Backlog!$M$2:$M$352,$A7,Backlog!$L$2:$L$352)</f>
        <v/>
      </c>
      <c r="G7" s="66">
        <f>D7-F7</f>
        <v/>
      </c>
      <c r="H7" s="81">
        <f>IFERROR(F7/D7,0)</f>
        <v/>
      </c>
      <c r="I7" s="67">
        <f>F7*README!$B$32</f>
        <v/>
      </c>
      <c r="J7" s="66">
        <f>COUNTIFS(Backlog!$M$2:$M$352,$A7,Backlog!$J$2:$J$352,"Must")</f>
        <v/>
      </c>
      <c r="K7" s="66">
        <f>SUM($F$5:F7)</f>
        <v/>
      </c>
      <c r="L7" s="81">
        <f>IFERROR(K7/SUM($F$5:$F$27),0)</f>
        <v/>
      </c>
    </row>
    <row r="8" ht="15" customHeight="1" s="51">
      <c r="A8" s="66" t="n">
        <v>4</v>
      </c>
      <c r="B8" s="79">
        <f>IF(A8&lt;=4,"R1 Foundation",IF(A8&lt;=8,"R2 Core Clinic",IF(A8&lt;=13,"R3 Revenue &amp; Messaging",IF(A8&lt;=18,"R4 Patient &amp; Platform",IF(A8&lt;=20,"R5 Harden","R6 Launch")))))</f>
        <v/>
      </c>
      <c r="C8" s="80" t="n">
        <v>2</v>
      </c>
      <c r="D8" s="66">
        <f>C8*README!$B$31</f>
        <v/>
      </c>
      <c r="E8" s="66">
        <f>COUNTIF(Backlog!$M$2:$M$352,$A8)</f>
        <v/>
      </c>
      <c r="F8" s="66">
        <f>SUMIF(Backlog!$M$2:$M$352,$A8,Backlog!$L$2:$L$352)</f>
        <v/>
      </c>
      <c r="G8" s="66">
        <f>D8-F8</f>
        <v/>
      </c>
      <c r="H8" s="81">
        <f>IFERROR(F8/D8,0)</f>
        <v/>
      </c>
      <c r="I8" s="67">
        <f>F8*README!$B$32</f>
        <v/>
      </c>
      <c r="J8" s="66">
        <f>COUNTIFS(Backlog!$M$2:$M$352,$A8,Backlog!$J$2:$J$352,"Must")</f>
        <v/>
      </c>
      <c r="K8" s="66">
        <f>SUM($F$5:F8)</f>
        <v/>
      </c>
      <c r="L8" s="81">
        <f>IFERROR(K8/SUM($F$5:$F$27),0)</f>
        <v/>
      </c>
    </row>
    <row r="9" ht="15" customHeight="1" s="51">
      <c r="A9" s="66" t="n">
        <v>5</v>
      </c>
      <c r="B9" s="79">
        <f>IF(A9&lt;=4,"R1 Foundation",IF(A9&lt;=8,"R2 Core Clinic",IF(A9&lt;=13,"R3 Revenue &amp; Messaging",IF(A9&lt;=18,"R4 Patient &amp; Platform",IF(A9&lt;=20,"R5 Harden","R6 Launch")))))</f>
        <v/>
      </c>
      <c r="C9" s="80" t="n">
        <v>2</v>
      </c>
      <c r="D9" s="66">
        <f>C9*README!$B$31</f>
        <v/>
      </c>
      <c r="E9" s="66">
        <f>COUNTIF(Backlog!$M$2:$M$352,$A9)</f>
        <v/>
      </c>
      <c r="F9" s="66">
        <f>SUMIF(Backlog!$M$2:$M$352,$A9,Backlog!$L$2:$L$352)</f>
        <v/>
      </c>
      <c r="G9" s="66">
        <f>D9-F9</f>
        <v/>
      </c>
      <c r="H9" s="81">
        <f>IFERROR(F9/D9,0)</f>
        <v/>
      </c>
      <c r="I9" s="67">
        <f>F9*README!$B$32</f>
        <v/>
      </c>
      <c r="J9" s="66">
        <f>COUNTIFS(Backlog!$M$2:$M$352,$A9,Backlog!$J$2:$J$352,"Must")</f>
        <v/>
      </c>
      <c r="K9" s="66">
        <f>SUM($F$5:F9)</f>
        <v/>
      </c>
      <c r="L9" s="81">
        <f>IFERROR(K9/SUM($F$5:$F$27),0)</f>
        <v/>
      </c>
    </row>
    <row r="10" ht="15" customHeight="1" s="51">
      <c r="A10" s="66" t="n">
        <v>6</v>
      </c>
      <c r="B10" s="79">
        <f>IF(A10&lt;=4,"R1 Foundation",IF(A10&lt;=8,"R2 Core Clinic",IF(A10&lt;=13,"R3 Revenue &amp; Messaging",IF(A10&lt;=18,"R4 Patient &amp; Platform",IF(A10&lt;=20,"R5 Harden","R6 Launch")))))</f>
        <v/>
      </c>
      <c r="C10" s="80" t="n">
        <v>2</v>
      </c>
      <c r="D10" s="66">
        <f>C10*README!$B$31</f>
        <v/>
      </c>
      <c r="E10" s="66">
        <f>COUNTIF(Backlog!$M$2:$M$352,$A10)</f>
        <v/>
      </c>
      <c r="F10" s="66">
        <f>SUMIF(Backlog!$M$2:$M$352,$A10,Backlog!$L$2:$L$352)</f>
        <v/>
      </c>
      <c r="G10" s="66">
        <f>D10-F10</f>
        <v/>
      </c>
      <c r="H10" s="81">
        <f>IFERROR(F10/D10,0)</f>
        <v/>
      </c>
      <c r="I10" s="67">
        <f>F10*README!$B$32</f>
        <v/>
      </c>
      <c r="J10" s="66">
        <f>COUNTIFS(Backlog!$M$2:$M$352,$A10,Backlog!$J$2:$J$352,"Must")</f>
        <v/>
      </c>
      <c r="K10" s="66">
        <f>SUM($F$5:F10)</f>
        <v/>
      </c>
      <c r="L10" s="81">
        <f>IFERROR(K10/SUM($F$5:$F$27),0)</f>
        <v/>
      </c>
    </row>
    <row r="11" ht="15" customHeight="1" s="51">
      <c r="A11" s="66" t="n">
        <v>7</v>
      </c>
      <c r="B11" s="79">
        <f>IF(A11&lt;=4,"R1 Foundation",IF(A11&lt;=8,"R2 Core Clinic",IF(A11&lt;=13,"R3 Revenue &amp; Messaging",IF(A11&lt;=18,"R4 Patient &amp; Platform",IF(A11&lt;=20,"R5 Harden","R6 Launch")))))</f>
        <v/>
      </c>
      <c r="C11" s="80" t="n">
        <v>3</v>
      </c>
      <c r="D11" s="66">
        <f>C11*README!$B$31</f>
        <v/>
      </c>
      <c r="E11" s="66">
        <f>COUNTIF(Backlog!$M$2:$M$352,$A11)</f>
        <v/>
      </c>
      <c r="F11" s="66">
        <f>SUMIF(Backlog!$M$2:$M$352,$A11,Backlog!$L$2:$L$352)</f>
        <v/>
      </c>
      <c r="G11" s="66">
        <f>D11-F11</f>
        <v/>
      </c>
      <c r="H11" s="81">
        <f>IFERROR(F11/D11,0)</f>
        <v/>
      </c>
      <c r="I11" s="67">
        <f>F11*README!$B$32</f>
        <v/>
      </c>
      <c r="J11" s="66">
        <f>COUNTIFS(Backlog!$M$2:$M$352,$A11,Backlog!$J$2:$J$352,"Must")</f>
        <v/>
      </c>
      <c r="K11" s="66">
        <f>SUM($F$5:F11)</f>
        <v/>
      </c>
      <c r="L11" s="81">
        <f>IFERROR(K11/SUM($F$5:$F$27),0)</f>
        <v/>
      </c>
    </row>
    <row r="12" ht="15" customHeight="1" s="51">
      <c r="A12" s="66" t="n">
        <v>8</v>
      </c>
      <c r="B12" s="79">
        <f>IF(A12&lt;=4,"R1 Foundation",IF(A12&lt;=8,"R2 Core Clinic",IF(A12&lt;=13,"R3 Revenue &amp; Messaging",IF(A12&lt;=18,"R4 Patient &amp; Platform",IF(A12&lt;=20,"R5 Harden","R6 Launch")))))</f>
        <v/>
      </c>
      <c r="C12" s="80" t="n">
        <v>2</v>
      </c>
      <c r="D12" s="66">
        <f>C12*README!$B$31</f>
        <v/>
      </c>
      <c r="E12" s="66">
        <f>COUNTIF(Backlog!$M$2:$M$352,$A12)</f>
        <v/>
      </c>
      <c r="F12" s="66">
        <f>SUMIF(Backlog!$M$2:$M$352,$A12,Backlog!$L$2:$L$352)</f>
        <v/>
      </c>
      <c r="G12" s="66">
        <f>D12-F12</f>
        <v/>
      </c>
      <c r="H12" s="81">
        <f>IFERROR(F12/D12,0)</f>
        <v/>
      </c>
      <c r="I12" s="67">
        <f>F12*README!$B$32</f>
        <v/>
      </c>
      <c r="J12" s="66">
        <f>COUNTIFS(Backlog!$M$2:$M$352,$A12,Backlog!$J$2:$J$352,"Must")</f>
        <v/>
      </c>
      <c r="K12" s="66">
        <f>SUM($F$5:F12)</f>
        <v/>
      </c>
      <c r="L12" s="81">
        <f>IFERROR(K12/SUM($F$5:$F$27),0)</f>
        <v/>
      </c>
    </row>
    <row r="13" ht="15" customHeight="1" s="51">
      <c r="A13" s="66" t="n">
        <v>9</v>
      </c>
      <c r="B13" s="79">
        <f>IF(A13&lt;=4,"R1 Foundation",IF(A13&lt;=8,"R2 Core Clinic",IF(A13&lt;=13,"R3 Revenue &amp; Messaging",IF(A13&lt;=18,"R4 Patient &amp; Platform",IF(A13&lt;=20,"R5 Harden","R6 Launch")))))</f>
        <v/>
      </c>
      <c r="C13" s="80" t="n">
        <v>3</v>
      </c>
      <c r="D13" s="66">
        <f>C13*README!$B$31</f>
        <v/>
      </c>
      <c r="E13" s="66">
        <f>COUNTIF(Backlog!$M$2:$M$352,$A13)</f>
        <v/>
      </c>
      <c r="F13" s="66">
        <f>SUMIF(Backlog!$M$2:$M$352,$A13,Backlog!$L$2:$L$352)</f>
        <v/>
      </c>
      <c r="G13" s="66">
        <f>D13-F13</f>
        <v/>
      </c>
      <c r="H13" s="81">
        <f>IFERROR(F13/D13,0)</f>
        <v/>
      </c>
      <c r="I13" s="67">
        <f>F13*README!$B$32</f>
        <v/>
      </c>
      <c r="J13" s="66">
        <f>COUNTIFS(Backlog!$M$2:$M$352,$A13,Backlog!$J$2:$J$352,"Must")</f>
        <v/>
      </c>
      <c r="K13" s="66">
        <f>SUM($F$5:F13)</f>
        <v/>
      </c>
      <c r="L13" s="81">
        <f>IFERROR(K13/SUM($F$5:$F$27),0)</f>
        <v/>
      </c>
    </row>
    <row r="14" ht="15" customHeight="1" s="51">
      <c r="A14" s="66" t="n">
        <v>10</v>
      </c>
      <c r="B14" s="79">
        <f>IF(A14&lt;=4,"R1 Foundation",IF(A14&lt;=8,"R2 Core Clinic",IF(A14&lt;=13,"R3 Revenue &amp; Messaging",IF(A14&lt;=18,"R4 Patient &amp; Platform",IF(A14&lt;=20,"R5 Harden","R6 Launch")))))</f>
        <v/>
      </c>
      <c r="C14" s="80" t="n">
        <v>3</v>
      </c>
      <c r="D14" s="66">
        <f>C14*README!$B$31</f>
        <v/>
      </c>
      <c r="E14" s="66">
        <f>COUNTIF(Backlog!$M$2:$M$352,$A14)</f>
        <v/>
      </c>
      <c r="F14" s="66">
        <f>SUMIF(Backlog!$M$2:$M$352,$A14,Backlog!$L$2:$L$352)</f>
        <v/>
      </c>
      <c r="G14" s="66">
        <f>D14-F14</f>
        <v/>
      </c>
      <c r="H14" s="81">
        <f>IFERROR(F14/D14,0)</f>
        <v/>
      </c>
      <c r="I14" s="67">
        <f>F14*README!$B$32</f>
        <v/>
      </c>
      <c r="J14" s="66">
        <f>COUNTIFS(Backlog!$M$2:$M$352,$A14,Backlog!$J$2:$J$352,"Must")</f>
        <v/>
      </c>
      <c r="K14" s="66">
        <f>SUM($F$5:F14)</f>
        <v/>
      </c>
      <c r="L14" s="81">
        <f>IFERROR(K14/SUM($F$5:$F$27),0)</f>
        <v/>
      </c>
    </row>
    <row r="15" ht="15" customHeight="1" s="51">
      <c r="A15" s="66" t="n">
        <v>11</v>
      </c>
      <c r="B15" s="79">
        <f>IF(A15&lt;=4,"R1 Foundation",IF(A15&lt;=8,"R2 Core Clinic",IF(A15&lt;=13,"R3 Revenue &amp; Messaging",IF(A15&lt;=18,"R4 Patient &amp; Platform",IF(A15&lt;=20,"R5 Harden","R6 Launch")))))</f>
        <v/>
      </c>
      <c r="C15" s="80" t="n">
        <v>3</v>
      </c>
      <c r="D15" s="66">
        <f>C15*README!$B$31</f>
        <v/>
      </c>
      <c r="E15" s="66">
        <f>COUNTIF(Backlog!$M$2:$M$352,$A15)</f>
        <v/>
      </c>
      <c r="F15" s="66">
        <f>SUMIF(Backlog!$M$2:$M$352,$A15,Backlog!$L$2:$L$352)</f>
        <v/>
      </c>
      <c r="G15" s="66">
        <f>D15-F15</f>
        <v/>
      </c>
      <c r="H15" s="81">
        <f>IFERROR(F15/D15,0)</f>
        <v/>
      </c>
      <c r="I15" s="67">
        <f>F15*README!$B$32</f>
        <v/>
      </c>
      <c r="J15" s="66">
        <f>COUNTIFS(Backlog!$M$2:$M$352,$A15,Backlog!$J$2:$J$352,"Must")</f>
        <v/>
      </c>
      <c r="K15" s="66">
        <f>SUM($F$5:F15)</f>
        <v/>
      </c>
      <c r="L15" s="81">
        <f>IFERROR(K15/SUM($F$5:$F$27),0)</f>
        <v/>
      </c>
    </row>
    <row r="16" ht="15" customHeight="1" s="51">
      <c r="A16" s="66" t="n">
        <v>12</v>
      </c>
      <c r="B16" s="79">
        <f>IF(A16&lt;=4,"R1 Foundation",IF(A16&lt;=8,"R2 Core Clinic",IF(A16&lt;=13,"R3 Revenue &amp; Messaging",IF(A16&lt;=18,"R4 Patient &amp; Platform",IF(A16&lt;=20,"R5 Harden","R6 Launch")))))</f>
        <v/>
      </c>
      <c r="C16" s="80" t="n">
        <v>4</v>
      </c>
      <c r="D16" s="66">
        <f>C16*README!$B$31</f>
        <v/>
      </c>
      <c r="E16" s="66">
        <f>COUNTIF(Backlog!$M$2:$M$352,$A16)</f>
        <v/>
      </c>
      <c r="F16" s="66">
        <f>SUMIF(Backlog!$M$2:$M$352,$A16,Backlog!$L$2:$L$352)</f>
        <v/>
      </c>
      <c r="G16" s="66">
        <f>D16-F16</f>
        <v/>
      </c>
      <c r="H16" s="81">
        <f>IFERROR(F16/D16,0)</f>
        <v/>
      </c>
      <c r="I16" s="67">
        <f>F16*README!$B$32</f>
        <v/>
      </c>
      <c r="J16" s="66">
        <f>COUNTIFS(Backlog!$M$2:$M$352,$A16,Backlog!$J$2:$J$352,"Must")</f>
        <v/>
      </c>
      <c r="K16" s="66">
        <f>SUM($F$5:F16)</f>
        <v/>
      </c>
      <c r="L16" s="81">
        <f>IFERROR(K16/SUM($F$5:$F$27),0)</f>
        <v/>
      </c>
    </row>
    <row r="17" ht="15" customHeight="1" s="51">
      <c r="A17" s="66" t="n">
        <v>13</v>
      </c>
      <c r="B17" s="79">
        <f>IF(A17&lt;=4,"R1 Foundation",IF(A17&lt;=8,"R2 Core Clinic",IF(A17&lt;=13,"R3 Revenue &amp; Messaging",IF(A17&lt;=18,"R4 Patient &amp; Platform",IF(A17&lt;=20,"R5 Harden","R6 Launch")))))</f>
        <v/>
      </c>
      <c r="C17" s="80" t="n">
        <v>4</v>
      </c>
      <c r="D17" s="66">
        <f>C17*README!$B$31</f>
        <v/>
      </c>
      <c r="E17" s="66">
        <f>COUNTIF(Backlog!$M$2:$M$352,$A17)</f>
        <v/>
      </c>
      <c r="F17" s="66">
        <f>SUMIF(Backlog!$M$2:$M$352,$A17,Backlog!$L$2:$L$352)</f>
        <v/>
      </c>
      <c r="G17" s="66">
        <f>D17-F17</f>
        <v/>
      </c>
      <c r="H17" s="81">
        <f>IFERROR(F17/D17,0)</f>
        <v/>
      </c>
      <c r="I17" s="67">
        <f>F17*README!$B$32</f>
        <v/>
      </c>
      <c r="J17" s="66">
        <f>COUNTIFS(Backlog!$M$2:$M$352,$A17,Backlog!$J$2:$J$352,"Must")</f>
        <v/>
      </c>
      <c r="K17" s="66">
        <f>SUM($F$5:F17)</f>
        <v/>
      </c>
      <c r="L17" s="81">
        <f>IFERROR(K17/SUM($F$5:$F$27),0)</f>
        <v/>
      </c>
    </row>
    <row r="18" ht="15" customHeight="1" s="51">
      <c r="A18" s="66" t="n">
        <v>14</v>
      </c>
      <c r="B18" s="79">
        <f>IF(A18&lt;=4,"R1 Foundation",IF(A18&lt;=8,"R2 Core Clinic",IF(A18&lt;=13,"R3 Revenue &amp; Messaging",IF(A18&lt;=18,"R4 Patient &amp; Platform",IF(A18&lt;=20,"R5 Harden","R6 Launch")))))</f>
        <v/>
      </c>
      <c r="C18" s="80" t="n">
        <v>5</v>
      </c>
      <c r="D18" s="66">
        <f>C18*README!$B$31</f>
        <v/>
      </c>
      <c r="E18" s="66">
        <f>COUNTIF(Backlog!$M$2:$M$352,$A18)</f>
        <v/>
      </c>
      <c r="F18" s="66">
        <f>SUMIF(Backlog!$M$2:$M$352,$A18,Backlog!$L$2:$L$352)</f>
        <v/>
      </c>
      <c r="G18" s="66">
        <f>D18-F18</f>
        <v/>
      </c>
      <c r="H18" s="81">
        <f>IFERROR(F18/D18,0)</f>
        <v/>
      </c>
      <c r="I18" s="67">
        <f>F18*README!$B$32</f>
        <v/>
      </c>
      <c r="J18" s="66">
        <f>COUNTIFS(Backlog!$M$2:$M$352,$A18,Backlog!$J$2:$J$352,"Must")</f>
        <v/>
      </c>
      <c r="K18" s="66">
        <f>SUM($F$5:F18)</f>
        <v/>
      </c>
      <c r="L18" s="81">
        <f>IFERROR(K18/SUM($F$5:$F$27),0)</f>
        <v/>
      </c>
    </row>
    <row r="19" ht="15" customHeight="1" s="51">
      <c r="A19" s="66" t="n">
        <v>15</v>
      </c>
      <c r="B19" s="79">
        <f>IF(A19&lt;=4,"R1 Foundation",IF(A19&lt;=8,"R2 Core Clinic",IF(A19&lt;=13,"R3 Revenue &amp; Messaging",IF(A19&lt;=18,"R4 Patient &amp; Platform",IF(A19&lt;=20,"R5 Harden","R6 Launch")))))</f>
        <v/>
      </c>
      <c r="C19" s="80" t="n">
        <v>5</v>
      </c>
      <c r="D19" s="66">
        <f>C19*README!$B$31</f>
        <v/>
      </c>
      <c r="E19" s="66">
        <f>COUNTIF(Backlog!$M$2:$M$352,$A19)</f>
        <v/>
      </c>
      <c r="F19" s="66">
        <f>SUMIF(Backlog!$M$2:$M$352,$A19,Backlog!$L$2:$L$352)</f>
        <v/>
      </c>
      <c r="G19" s="66">
        <f>D19-F19</f>
        <v/>
      </c>
      <c r="H19" s="81">
        <f>IFERROR(F19/D19,0)</f>
        <v/>
      </c>
      <c r="I19" s="67">
        <f>F19*README!$B$32</f>
        <v/>
      </c>
      <c r="J19" s="66">
        <f>COUNTIFS(Backlog!$M$2:$M$352,$A19,Backlog!$J$2:$J$352,"Must")</f>
        <v/>
      </c>
      <c r="K19" s="66">
        <f>SUM($F$5:F19)</f>
        <v/>
      </c>
      <c r="L19" s="81">
        <f>IFERROR(K19/SUM($F$5:$F$27),0)</f>
        <v/>
      </c>
    </row>
    <row r="20" ht="15" customHeight="1" s="51">
      <c r="A20" s="66" t="n">
        <v>16</v>
      </c>
      <c r="B20" s="79">
        <f>IF(A20&lt;=4,"R1 Foundation",IF(A20&lt;=8,"R2 Core Clinic",IF(A20&lt;=13,"R3 Revenue &amp; Messaging",IF(A20&lt;=18,"R4 Patient &amp; Platform",IF(A20&lt;=20,"R5 Harden","R6 Launch")))))</f>
        <v/>
      </c>
      <c r="C20" s="80" t="n">
        <v>5</v>
      </c>
      <c r="D20" s="66">
        <f>C20*README!$B$31</f>
        <v/>
      </c>
      <c r="E20" s="66">
        <f>COUNTIF(Backlog!$M$2:$M$352,$A20)</f>
        <v/>
      </c>
      <c r="F20" s="66">
        <f>SUMIF(Backlog!$M$2:$M$352,$A20,Backlog!$L$2:$L$352)</f>
        <v/>
      </c>
      <c r="G20" s="66">
        <f>D20-F20</f>
        <v/>
      </c>
      <c r="H20" s="81">
        <f>IFERROR(F20/D20,0)</f>
        <v/>
      </c>
      <c r="I20" s="67">
        <f>F20*README!$B$32</f>
        <v/>
      </c>
      <c r="J20" s="66">
        <f>COUNTIFS(Backlog!$M$2:$M$352,$A20,Backlog!$J$2:$J$352,"Must")</f>
        <v/>
      </c>
      <c r="K20" s="66">
        <f>SUM($F$5:F20)</f>
        <v/>
      </c>
      <c r="L20" s="81">
        <f>IFERROR(K20/SUM($F$5:$F$27),0)</f>
        <v/>
      </c>
    </row>
    <row r="21" ht="15" customHeight="1" s="51">
      <c r="A21" s="66" t="n">
        <v>17</v>
      </c>
      <c r="B21" s="79">
        <f>IF(A21&lt;=4,"R1 Foundation",IF(A21&lt;=8,"R2 Core Clinic",IF(A21&lt;=13,"R3 Revenue &amp; Messaging",IF(A21&lt;=18,"R4 Patient &amp; Platform",IF(A21&lt;=20,"R5 Harden","R6 Launch")))))</f>
        <v/>
      </c>
      <c r="C21" s="80" t="n">
        <v>5</v>
      </c>
      <c r="D21" s="66">
        <f>C21*README!$B$31</f>
        <v/>
      </c>
      <c r="E21" s="66">
        <f>COUNTIF(Backlog!$M$2:$M$352,$A21)</f>
        <v/>
      </c>
      <c r="F21" s="66">
        <f>SUMIF(Backlog!$M$2:$M$352,$A21,Backlog!$L$2:$L$352)</f>
        <v/>
      </c>
      <c r="G21" s="66">
        <f>D21-F21</f>
        <v/>
      </c>
      <c r="H21" s="81">
        <f>IFERROR(F21/D21,0)</f>
        <v/>
      </c>
      <c r="I21" s="67">
        <f>F21*README!$B$32</f>
        <v/>
      </c>
      <c r="J21" s="66">
        <f>COUNTIFS(Backlog!$M$2:$M$352,$A21,Backlog!$J$2:$J$352,"Must")</f>
        <v/>
      </c>
      <c r="K21" s="66">
        <f>SUM($F$5:F21)</f>
        <v/>
      </c>
      <c r="L21" s="81">
        <f>IFERROR(K21/SUM($F$5:$F$27),0)</f>
        <v/>
      </c>
    </row>
    <row r="22" ht="15" customHeight="1" s="51">
      <c r="A22" s="66" t="n">
        <v>18</v>
      </c>
      <c r="B22" s="79">
        <f>IF(A22&lt;=4,"R1 Foundation",IF(A22&lt;=8,"R2 Core Clinic",IF(A22&lt;=13,"R3 Revenue &amp; Messaging",IF(A22&lt;=18,"R4 Patient &amp; Platform",IF(A22&lt;=20,"R5 Harden","R6 Launch")))))</f>
        <v/>
      </c>
      <c r="C22" s="80" t="n">
        <v>5</v>
      </c>
      <c r="D22" s="66">
        <f>C22*README!$B$31</f>
        <v/>
      </c>
      <c r="E22" s="66">
        <f>COUNTIF(Backlog!$M$2:$M$352,$A22)</f>
        <v/>
      </c>
      <c r="F22" s="66">
        <f>SUMIF(Backlog!$M$2:$M$352,$A22,Backlog!$L$2:$L$352)</f>
        <v/>
      </c>
      <c r="G22" s="66">
        <f>D22-F22</f>
        <v/>
      </c>
      <c r="H22" s="81">
        <f>IFERROR(F22/D22,0)</f>
        <v/>
      </c>
      <c r="I22" s="67">
        <f>F22*README!$B$32</f>
        <v/>
      </c>
      <c r="J22" s="66">
        <f>COUNTIFS(Backlog!$M$2:$M$352,$A22,Backlog!$J$2:$J$352,"Must")</f>
        <v/>
      </c>
      <c r="K22" s="66">
        <f>SUM($F$5:F22)</f>
        <v/>
      </c>
      <c r="L22" s="81">
        <f>IFERROR(K22/SUM($F$5:$F$27),0)</f>
        <v/>
      </c>
    </row>
    <row r="23" ht="15" customHeight="1" s="51">
      <c r="A23" s="66" t="n">
        <v>19</v>
      </c>
      <c r="B23" s="79">
        <f>IF(A23&lt;=4,"R1 Foundation",IF(A23&lt;=8,"R2 Core Clinic",IF(A23&lt;=13,"R3 Revenue &amp; Messaging",IF(A23&lt;=18,"R4 Patient &amp; Platform",IF(A23&lt;=20,"R5 Harden","R6 Launch")))))</f>
        <v/>
      </c>
      <c r="C23" s="80" t="n">
        <v>4</v>
      </c>
      <c r="D23" s="66">
        <f>C23*README!$B$31</f>
        <v/>
      </c>
      <c r="E23" s="66">
        <f>COUNTIF(Backlog!$M$2:$M$352,$A23)</f>
        <v/>
      </c>
      <c r="F23" s="66">
        <f>SUMIF(Backlog!$M$2:$M$352,$A23,Backlog!$L$2:$L$352)</f>
        <v/>
      </c>
      <c r="G23" s="66">
        <f>D23-F23</f>
        <v/>
      </c>
      <c r="H23" s="81">
        <f>IFERROR(F23/D23,0)</f>
        <v/>
      </c>
      <c r="I23" s="67">
        <f>F23*README!$B$32</f>
        <v/>
      </c>
      <c r="J23" s="66">
        <f>COUNTIFS(Backlog!$M$2:$M$352,$A23,Backlog!$J$2:$J$352,"Must")</f>
        <v/>
      </c>
      <c r="K23" s="66">
        <f>SUM($F$5:F23)</f>
        <v/>
      </c>
      <c r="L23" s="81">
        <f>IFERROR(K23/SUM($F$5:$F$27),0)</f>
        <v/>
      </c>
    </row>
    <row r="24" ht="15" customHeight="1" s="51">
      <c r="A24" s="66" t="n">
        <v>20</v>
      </c>
      <c r="B24" s="79">
        <f>IF(A24&lt;=4,"R1 Foundation",IF(A24&lt;=8,"R2 Core Clinic",IF(A24&lt;=13,"R3 Revenue &amp; Messaging",IF(A24&lt;=18,"R4 Patient &amp; Platform",IF(A24&lt;=20,"R5 Harden","R6 Launch")))))</f>
        <v/>
      </c>
      <c r="C24" s="80" t="n">
        <v>3</v>
      </c>
      <c r="D24" s="66">
        <f>C24*README!$B$31</f>
        <v/>
      </c>
      <c r="E24" s="66">
        <f>COUNTIF(Backlog!$M$2:$M$352,$A24)</f>
        <v/>
      </c>
      <c r="F24" s="66">
        <f>SUMIF(Backlog!$M$2:$M$352,$A24,Backlog!$L$2:$L$352)</f>
        <v/>
      </c>
      <c r="G24" s="66">
        <f>D24-F24</f>
        <v/>
      </c>
      <c r="H24" s="81">
        <f>IFERROR(F24/D24,0)</f>
        <v/>
      </c>
      <c r="I24" s="67">
        <f>F24*README!$B$32</f>
        <v/>
      </c>
      <c r="J24" s="66">
        <f>COUNTIFS(Backlog!$M$2:$M$352,$A24,Backlog!$J$2:$J$352,"Must")</f>
        <v/>
      </c>
      <c r="K24" s="66">
        <f>SUM($F$5:F24)</f>
        <v/>
      </c>
      <c r="L24" s="81">
        <f>IFERROR(K24/SUM($F$5:$F$27),0)</f>
        <v/>
      </c>
    </row>
    <row r="25" ht="15" customHeight="1" s="51">
      <c r="A25" s="66" t="n">
        <v>21</v>
      </c>
      <c r="B25" s="79">
        <f>IF(A25&lt;=4,"R1 Foundation",IF(A25&lt;=8,"R2 Core Clinic",IF(A25&lt;=13,"R3 Revenue &amp; Messaging",IF(A25&lt;=18,"R4 Patient &amp; Platform",IF(A25&lt;=20,"R5 Harden","R6 Launch")))))</f>
        <v/>
      </c>
      <c r="C25" s="80" t="n">
        <v>2</v>
      </c>
      <c r="D25" s="66">
        <f>C25*README!$B$31</f>
        <v/>
      </c>
      <c r="E25" s="66">
        <f>COUNTIF(Backlog!$M$2:$M$352,$A25)</f>
        <v/>
      </c>
      <c r="F25" s="66">
        <f>SUMIF(Backlog!$M$2:$M$352,$A25,Backlog!$L$2:$L$352)</f>
        <v/>
      </c>
      <c r="G25" s="66">
        <f>D25-F25</f>
        <v/>
      </c>
      <c r="H25" s="81">
        <f>IFERROR(F25/D25,0)</f>
        <v/>
      </c>
      <c r="I25" s="67">
        <f>F25*README!$B$32</f>
        <v/>
      </c>
      <c r="J25" s="66">
        <f>COUNTIFS(Backlog!$M$2:$M$352,$A25,Backlog!$J$2:$J$352,"Must")</f>
        <v/>
      </c>
      <c r="K25" s="66">
        <f>SUM($F$5:F25)</f>
        <v/>
      </c>
      <c r="L25" s="81">
        <f>IFERROR(K25/SUM($F$5:$F$27),0)</f>
        <v/>
      </c>
    </row>
    <row r="26" ht="15" customHeight="1" s="51">
      <c r="A26" s="66" t="n">
        <v>22</v>
      </c>
      <c r="B26" s="79">
        <f>IF(A26&lt;=4,"R1 Foundation",IF(A26&lt;=8,"R2 Core Clinic",IF(A26&lt;=13,"R3 Revenue &amp; Messaging",IF(A26&lt;=18,"R4 Patient &amp; Platform",IF(A26&lt;=20,"R5 Harden","R6 Launch")))))</f>
        <v/>
      </c>
      <c r="C26" s="80" t="n">
        <v>2</v>
      </c>
      <c r="D26" s="66">
        <f>C26*README!$B$31</f>
        <v/>
      </c>
      <c r="E26" s="66">
        <f>COUNTIF(Backlog!$M$2:$M$352,$A26)</f>
        <v/>
      </c>
      <c r="F26" s="66">
        <f>SUMIF(Backlog!$M$2:$M$352,$A26,Backlog!$L$2:$L$352)</f>
        <v/>
      </c>
      <c r="G26" s="66">
        <f>D26-F26</f>
        <v/>
      </c>
      <c r="H26" s="81">
        <f>IFERROR(F26/D26,0)</f>
        <v/>
      </c>
      <c r="I26" s="67">
        <f>F26*README!$B$32</f>
        <v/>
      </c>
      <c r="J26" s="66">
        <f>COUNTIFS(Backlog!$M$2:$M$352,$A26,Backlog!$J$2:$J$352,"Must")</f>
        <v/>
      </c>
      <c r="K26" s="66">
        <f>SUM($F$5:F26)</f>
        <v/>
      </c>
      <c r="L26" s="81">
        <f>IFERROR(K26/SUM($F$5:$F$27),0)</f>
        <v/>
      </c>
    </row>
    <row r="27" ht="15" customHeight="1" s="51">
      <c r="A27" s="66" t="n">
        <v>23</v>
      </c>
      <c r="B27" s="79">
        <f>IF(A27&lt;=4,"R1 Foundation",IF(A27&lt;=8,"R2 Core Clinic",IF(A27&lt;=13,"R3 Revenue &amp; Messaging",IF(A27&lt;=18,"R4 Patient &amp; Platform",IF(A27&lt;=20,"R5 Harden","R6 Launch")))))</f>
        <v/>
      </c>
      <c r="C27" s="80" t="n">
        <v>2</v>
      </c>
      <c r="D27" s="66">
        <f>C27*README!$B$31</f>
        <v/>
      </c>
      <c r="E27" s="66">
        <f>COUNTIF(Backlog!$M$2:$M$352,$A27)</f>
        <v/>
      </c>
      <c r="F27" s="66">
        <f>SUMIF(Backlog!$M$2:$M$352,$A27,Backlog!$L$2:$L$352)</f>
        <v/>
      </c>
      <c r="G27" s="66">
        <f>D27-F27</f>
        <v/>
      </c>
      <c r="H27" s="81">
        <f>IFERROR(F27/D27,0)</f>
        <v/>
      </c>
      <c r="I27" s="67">
        <f>F27*README!$B$32</f>
        <v/>
      </c>
      <c r="J27" s="66">
        <f>COUNTIFS(Backlog!$M$2:$M$352,$A27,Backlog!$J$2:$J$352,"Must")</f>
        <v/>
      </c>
      <c r="K27" s="66">
        <f>SUM($F$5:F27)</f>
        <v/>
      </c>
      <c r="L27" s="81">
        <f>IFERROR(K27/SUM($F$5:$F$27),0)</f>
        <v/>
      </c>
    </row>
    <row r="28" ht="15" customHeight="1" s="51">
      <c r="A28" s="76" t="inlineStr">
        <is>
          <t>TOTAL</t>
        </is>
      </c>
      <c r="B28" s="82" t="n"/>
      <c r="C28" s="82" t="n"/>
      <c r="D28" s="76">
        <f>SUM(D5:D27)</f>
        <v/>
      </c>
      <c r="E28" s="76">
        <f>SUM(E5:E27)</f>
        <v/>
      </c>
      <c r="F28" s="76">
        <f>SUM(F5:F27)</f>
        <v/>
      </c>
      <c r="G28" s="82" t="n"/>
      <c r="H28" s="83">
        <f>IFERROR(F28/D28,0)</f>
        <v/>
      </c>
      <c r="I28" s="78">
        <f>SUM(I5:I27)</f>
        <v/>
      </c>
      <c r="J28" s="76">
        <f>SUM(J5:J27)</f>
        <v/>
      </c>
      <c r="K28" s="82" t="n"/>
      <c r="L28" s="82" t="n"/>
    </row>
    <row r="30" ht="15" customHeight="1" s="51">
      <c r="A30" s="56" t="inlineStr">
        <is>
          <t>Programme shape</t>
        </is>
      </c>
    </row>
    <row r="31" ht="15" customHeight="1" s="51">
      <c r="A31" s="55" t="inlineStr">
        <is>
          <t>Elapsed weeks</t>
        </is>
      </c>
      <c r="D31" s="84">
        <f>README!$B$30*23</f>
        <v/>
      </c>
    </row>
    <row r="32" ht="15" customHeight="1" s="51">
      <c r="A32" s="55" t="inlineStr">
        <is>
          <t>Approximate elapsed months</t>
        </is>
      </c>
      <c r="D32" s="71">
        <f>D31/4.345</f>
        <v/>
      </c>
    </row>
    <row r="33" ht="15" customHeight="1" s="51">
      <c r="A33" s="55" t="inlineStr">
        <is>
          <t>Peak squads in parallel</t>
        </is>
      </c>
      <c r="D33" s="85">
        <f>MAX(C5:C27)</f>
        <v/>
      </c>
    </row>
    <row r="34" ht="15" customHeight="1" s="51">
      <c r="A34" s="55" t="inlineStr">
        <is>
          <t>Peak people (approx, 6 per squad)</t>
        </is>
      </c>
      <c r="D34" s="85">
        <f>D33*6</f>
        <v/>
      </c>
    </row>
    <row r="35" ht="15" customHeight="1" s="51">
      <c r="A35" s="55" t="inlineStr">
        <is>
          <t>Indicative cost (only if a day rate is set on README)</t>
        </is>
      </c>
      <c r="D35" s="84">
        <f>I28*README!$B$33</f>
        <v/>
      </c>
    </row>
  </sheetData>
  <conditionalFormatting sqref="F5:F27">
    <cfRule type="expression" rank="0" priority="2" equalAverage="0" aboveAverage="0" dxfId="13" text="" percent="0" bottom="0">
      <formula>$F5&gt;$D5</formula>
    </cfRule>
  </conditionalFormatting>
  <conditionalFormatting sqref="G5:G27">
    <cfRule type="cellIs" rank="0" priority="3" equalAverage="0" operator="lessThan" aboveAverage="0" dxfId="9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50" min="1" max="1"/>
    <col width="60" customWidth="1" style="50" min="2" max="2"/>
    <col width="9" customWidth="1" style="50" min="3" max="3"/>
    <col width="13" customWidth="1" style="50" min="4" max="4"/>
    <col width="12" customWidth="1" style="50" min="5" max="5"/>
    <col width="16" customWidth="1" style="50" min="6" max="6"/>
    <col width="12" customWidth="1" style="50" min="7" max="8"/>
  </cols>
  <sheetData>
    <row r="1" ht="19.7" customHeight="1" s="51">
      <c r="A1" s="52" t="inlineStr">
        <is>
          <t>Parallel delivery tracks</t>
        </is>
      </c>
    </row>
    <row r="2" ht="15" customHeight="1" s="51">
      <c r="A2" s="65" t="inlineStr">
        <is>
          <t>This programme cannot be delivered by one team. These are the four workstreams the backlog naturally separates into.</t>
        </is>
      </c>
    </row>
    <row r="4" ht="15" customHeight="1" s="51">
      <c r="A4" s="59" t="inlineStr">
        <is>
          <t>Track</t>
        </is>
      </c>
      <c r="B4" s="59" t="inlineStr">
        <is>
          <t>What it covers</t>
        </is>
      </c>
      <c r="C4" s="59" t="inlineStr">
        <is>
          <t>Tasks</t>
        </is>
      </c>
      <c r="D4" s="59" t="inlineStr">
        <is>
          <t>Story Points</t>
        </is>
      </c>
      <c r="E4" s="59" t="inlineStr">
        <is>
          <t>% of Points</t>
        </is>
      </c>
      <c r="F4" s="59" t="inlineStr">
        <is>
          <t>Est. Person-Days</t>
        </is>
      </c>
      <c r="G4" s="59" t="inlineStr">
        <is>
          <t>First Sprint</t>
        </is>
      </c>
      <c r="H4" s="59" t="inlineStr">
        <is>
          <t>Last Sprint</t>
        </is>
      </c>
    </row>
    <row r="5" ht="23.85" customHeight="1" s="51">
      <c r="A5" s="64" t="inlineStr">
        <is>
          <t>Shared</t>
        </is>
      </c>
      <c r="B5" s="62" t="inlineStr">
        <is>
          <t>Foundation, design system, charts, i18n, auth, security, DevOps and QA — everything the other three depend on</t>
        </is>
      </c>
      <c r="C5" s="66">
        <f>COUNTIF(Backlog!$H$2:$H$352,$A5)</f>
        <v/>
      </c>
      <c r="D5" s="66">
        <f>SUMIF(Backlog!$H$2:$H$352,$A5,Backlog!$L$2:$L$352)</f>
        <v/>
      </c>
      <c r="E5" s="74">
        <f>IFERROR(D5/$D$9,0)</f>
        <v/>
      </c>
      <c r="F5" s="67">
        <f>D5*README!$B$32</f>
        <v/>
      </c>
      <c r="G5" s="66">
        <f>_xlfn.MINIFS(Backlog!$M$2:$M$352,Backlog!$H$2:$H$352,$A5)</f>
        <v/>
      </c>
      <c r="H5" s="66">
        <f>_xlfn.MAXIFS(Backlog!$M$2:$M$352,Backlog!$H$2:$H$352,$A5)</f>
        <v/>
      </c>
    </row>
    <row r="6" ht="23.85" customHeight="1" s="51">
      <c r="A6" s="64" t="inlineStr">
        <is>
          <t>Clinic</t>
        </is>
      </c>
      <c r="B6" s="62" t="inlineStr">
        <is>
          <t>Reception, doctor, nurse and owner surfaces: queue, clinical, billing, packages, pharmacy, reports</t>
        </is>
      </c>
      <c r="C6" s="66">
        <f>COUNTIF(Backlog!$H$2:$H$352,$A6)</f>
        <v/>
      </c>
      <c r="D6" s="66">
        <f>SUMIF(Backlog!$H$2:$H$352,$A6,Backlog!$L$2:$L$352)</f>
        <v/>
      </c>
      <c r="E6" s="74">
        <f>IFERROR(D6/$D$9,0)</f>
        <v/>
      </c>
      <c r="F6" s="67">
        <f>D6*README!$B$32</f>
        <v/>
      </c>
      <c r="G6" s="66">
        <f>_xlfn.MINIFS(Backlog!$M$2:$M$352,Backlog!$H$2:$H$352,$A6)</f>
        <v/>
      </c>
      <c r="H6" s="66">
        <f>_xlfn.MAXIFS(Backlog!$M$2:$M$352,Backlog!$H$2:$H$352,$A6)</f>
        <v/>
      </c>
    </row>
    <row r="7" ht="23.85" customHeight="1" s="51">
      <c r="A7" s="64" t="inlineStr">
        <is>
          <t>Patient</t>
        </is>
      </c>
      <c r="B7" s="62" t="inlineStr">
        <is>
          <t>The WhatsApp patient surface, caregiver and family handling, messaging infrastructure and the aggregator</t>
        </is>
      </c>
      <c r="C7" s="66">
        <f>COUNTIF(Backlog!$H$2:$H$352,$A7)</f>
        <v/>
      </c>
      <c r="D7" s="66">
        <f>SUMIF(Backlog!$H$2:$H$352,$A7,Backlog!$L$2:$L$352)</f>
        <v/>
      </c>
      <c r="E7" s="74">
        <f>IFERROR(D7/$D$9,0)</f>
        <v/>
      </c>
      <c r="F7" s="67">
        <f>D7*README!$B$32</f>
        <v/>
      </c>
      <c r="G7" s="66">
        <f>_xlfn.MINIFS(Backlog!$M$2:$M$352,Backlog!$H$2:$H$352,$A7)</f>
        <v/>
      </c>
      <c r="H7" s="66">
        <f>_xlfn.MAXIFS(Backlog!$M$2:$M$352,Backlog!$H$2:$H$352,$A7)</f>
        <v/>
      </c>
    </row>
    <row r="8" ht="23.85" customHeight="1" s="51">
      <c r="A8" s="64" t="inlineStr">
        <is>
          <t>Platform</t>
        </is>
      </c>
      <c r="B8" s="62" t="inlineStr">
        <is>
          <t>The SaaS console: provisioning, operator roles, subscriptions, support, health, territories and growth</t>
        </is>
      </c>
      <c r="C8" s="66">
        <f>COUNTIF(Backlog!$H$2:$H$352,$A8)</f>
        <v/>
      </c>
      <c r="D8" s="66">
        <f>SUMIF(Backlog!$H$2:$H$352,$A8,Backlog!$L$2:$L$352)</f>
        <v/>
      </c>
      <c r="E8" s="74">
        <f>IFERROR(D8/$D$9,0)</f>
        <v/>
      </c>
      <c r="F8" s="67">
        <f>D8*README!$B$32</f>
        <v/>
      </c>
      <c r="G8" s="66">
        <f>_xlfn.MINIFS(Backlog!$M$2:$M$352,Backlog!$H$2:$H$352,$A8)</f>
        <v/>
      </c>
      <c r="H8" s="66">
        <f>_xlfn.MAXIFS(Backlog!$M$2:$M$352,Backlog!$H$2:$H$352,$A8)</f>
        <v/>
      </c>
    </row>
    <row r="9" ht="15" customHeight="1" s="51">
      <c r="A9" s="75" t="inlineStr">
        <is>
          <t>TOTAL</t>
        </is>
      </c>
      <c r="B9" s="86" t="n"/>
      <c r="C9" s="75">
        <f>SUM(C5:C8)</f>
        <v/>
      </c>
      <c r="D9" s="75">
        <f>SUM(D5:D8)</f>
        <v/>
      </c>
      <c r="E9" s="87">
        <f>SUM(E5:E8)</f>
        <v/>
      </c>
      <c r="F9" s="88">
        <f>SUM(F5:F8)</f>
        <v/>
      </c>
      <c r="G9" s="86" t="n"/>
      <c r="H9" s="8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6" customWidth="1" style="50" min="1" max="1"/>
    <col width="24" customWidth="1" style="50" min="2" max="2"/>
    <col width="9" customWidth="1" style="50" min="3" max="5"/>
    <col width="13" customWidth="1" style="50" min="6" max="6"/>
    <col width="10" customWidth="1" style="50" min="7" max="7"/>
    <col width="17" customWidth="1" style="50" min="8" max="8"/>
    <col width="9" customWidth="1" style="50" min="9" max="9"/>
    <col width="58" customWidth="1" style="50" min="10" max="10"/>
  </cols>
  <sheetData>
    <row r="1" ht="19.7" customHeight="1" s="51">
      <c r="A1" s="52" t="inlineStr">
        <is>
          <t>Clinic role &amp; permission matrix — specification for epic E06</t>
        </is>
      </c>
    </row>
    <row r="2" ht="15" customHeight="1" s="51">
      <c r="A2" s="65" t="inlineStr">
        <is>
          <t>Taken from the wireframe permission model. Y granted, N not granted, P plan/subscription dependent, - not applicable.</t>
        </is>
      </c>
    </row>
    <row r="3" ht="15" customHeight="1" s="51">
      <c r="A3" s="89" t="inlineStr">
        <is>
          <t>Rule: a permission-restricted element is ABSENT, never disabled or greyed. Enforcement is server-side; the UI only reflects it. Consent is additionally checked at query level (NFR-08).</t>
        </is>
      </c>
    </row>
    <row r="5" ht="15" customHeight="1" s="51">
      <c r="A5" s="59" t="inlineStr">
        <is>
          <t>Role</t>
        </is>
      </c>
      <c r="B5" s="59" t="inlineStr">
        <is>
          <t>Module</t>
        </is>
      </c>
      <c r="C5" s="59" t="inlineStr">
        <is>
          <t>View</t>
        </is>
      </c>
      <c r="D5" s="59" t="inlineStr">
        <is>
          <t>Create</t>
        </is>
      </c>
      <c r="E5" s="59" t="inlineStr">
        <is>
          <t>Edit</t>
        </is>
      </c>
      <c r="F5" s="59" t="inlineStr">
        <is>
          <t>Delete / Void</t>
        </is>
      </c>
      <c r="G5" s="59" t="inlineStr">
        <is>
          <t>Approve</t>
        </is>
      </c>
      <c r="H5" s="59" t="inlineStr">
        <is>
          <t>Refund / Discount</t>
        </is>
      </c>
      <c r="I5" s="59" t="inlineStr">
        <is>
          <t>Export</t>
        </is>
      </c>
      <c r="J5" s="59" t="inlineStr">
        <is>
          <t>Notes</t>
        </is>
      </c>
    </row>
    <row r="6" ht="15" customHeight="1" s="51">
      <c r="A6" s="75" t="inlineStr">
        <is>
          <t>Owner / Manager</t>
        </is>
      </c>
      <c r="B6" s="90" t="inlineStr">
        <is>
          <t>Patients</t>
        </is>
      </c>
      <c r="C6" s="91" t="inlineStr">
        <is>
          <t>Y</t>
        </is>
      </c>
      <c r="D6" s="91" t="inlineStr">
        <is>
          <t>Y</t>
        </is>
      </c>
      <c r="E6" s="91" t="inlineStr">
        <is>
          <t>Y</t>
        </is>
      </c>
      <c r="F6" s="91" t="inlineStr">
        <is>
          <t>Y</t>
        </is>
      </c>
      <c r="G6" s="91" t="inlineStr">
        <is>
          <t>Y</t>
        </is>
      </c>
      <c r="H6" s="92" t="inlineStr">
        <is>
          <t>-</t>
        </is>
      </c>
      <c r="I6" s="91" t="inlineStr">
        <is>
          <t>Y</t>
        </is>
      </c>
      <c r="J6" s="93" t="n"/>
    </row>
    <row r="7" ht="15" customHeight="1" s="51">
      <c r="A7" s="60" t="n"/>
      <c r="B7" s="60" t="inlineStr">
        <is>
          <t>Queue &amp; Appointments</t>
        </is>
      </c>
      <c r="C7" s="91" t="inlineStr">
        <is>
          <t>Y</t>
        </is>
      </c>
      <c r="D7" s="91" t="inlineStr">
        <is>
          <t>Y</t>
        </is>
      </c>
      <c r="E7" s="91" t="inlineStr">
        <is>
          <t>Y</t>
        </is>
      </c>
      <c r="F7" s="91" t="inlineStr">
        <is>
          <t>Y</t>
        </is>
      </c>
      <c r="G7" s="91" t="inlineStr">
        <is>
          <t>Y</t>
        </is>
      </c>
      <c r="H7" s="92" t="inlineStr">
        <is>
          <t>-</t>
        </is>
      </c>
      <c r="I7" s="91" t="inlineStr">
        <is>
          <t>Y</t>
        </is>
      </c>
      <c r="J7" s="93" t="n"/>
    </row>
    <row r="8" ht="15" customHeight="1" s="51">
      <c r="A8" s="60" t="n"/>
      <c r="B8" s="60" t="inlineStr">
        <is>
          <t>Clinical Records</t>
        </is>
      </c>
      <c r="C8" s="91" t="inlineStr">
        <is>
          <t>Y</t>
        </is>
      </c>
      <c r="D8" s="94" t="inlineStr">
        <is>
          <t>N</t>
        </is>
      </c>
      <c r="E8" s="94" t="inlineStr">
        <is>
          <t>N</t>
        </is>
      </c>
      <c r="F8" s="91" t="inlineStr">
        <is>
          <t>Y</t>
        </is>
      </c>
      <c r="G8" s="91" t="inlineStr">
        <is>
          <t>Y</t>
        </is>
      </c>
      <c r="H8" s="92" t="inlineStr">
        <is>
          <t>-</t>
        </is>
      </c>
      <c r="I8" s="91" t="inlineStr">
        <is>
          <t>Y</t>
        </is>
      </c>
      <c r="J8" s="93" t="n"/>
    </row>
    <row r="9" ht="15" customHeight="1" s="51">
      <c r="A9" s="60" t="n"/>
      <c r="B9" s="60" t="inlineStr">
        <is>
          <t>Billing &amp; Payments</t>
        </is>
      </c>
      <c r="C9" s="91" t="inlineStr">
        <is>
          <t>Y</t>
        </is>
      </c>
      <c r="D9" s="91" t="inlineStr">
        <is>
          <t>Y</t>
        </is>
      </c>
      <c r="E9" s="91" t="inlineStr">
        <is>
          <t>Y</t>
        </is>
      </c>
      <c r="F9" s="91" t="inlineStr">
        <is>
          <t>Y</t>
        </is>
      </c>
      <c r="G9" s="91" t="inlineStr">
        <is>
          <t>Y</t>
        </is>
      </c>
      <c r="H9" s="91" t="inlineStr">
        <is>
          <t>Y</t>
        </is>
      </c>
      <c r="I9" s="91" t="inlineStr">
        <is>
          <t>Y</t>
        </is>
      </c>
      <c r="J9" s="93" t="n"/>
    </row>
    <row r="10" ht="15" customHeight="1" s="51">
      <c r="A10" s="60" t="n"/>
      <c r="B10" s="60" t="inlineStr">
        <is>
          <t>Packages</t>
        </is>
      </c>
      <c r="C10" s="91" t="inlineStr">
        <is>
          <t>Y</t>
        </is>
      </c>
      <c r="D10" s="91" t="inlineStr">
        <is>
          <t>Y</t>
        </is>
      </c>
      <c r="E10" s="91" t="inlineStr">
        <is>
          <t>Y</t>
        </is>
      </c>
      <c r="F10" s="91" t="inlineStr">
        <is>
          <t>Y</t>
        </is>
      </c>
      <c r="G10" s="91" t="inlineStr">
        <is>
          <t>Y</t>
        </is>
      </c>
      <c r="H10" s="91" t="inlineStr">
        <is>
          <t>Y</t>
        </is>
      </c>
      <c r="I10" s="91" t="inlineStr">
        <is>
          <t>Y</t>
        </is>
      </c>
      <c r="J10" s="93" t="n"/>
    </row>
    <row r="11" ht="22.35" customHeight="1" s="51">
      <c r="A11" s="60" t="n"/>
      <c r="B11" s="60" t="inlineStr">
        <is>
          <t>Pharmacy</t>
        </is>
      </c>
      <c r="C11" s="95" t="inlineStr">
        <is>
          <t>P</t>
        </is>
      </c>
      <c r="D11" s="95" t="inlineStr">
        <is>
          <t>P</t>
        </is>
      </c>
      <c r="E11" s="95" t="inlineStr">
        <is>
          <t>P</t>
        </is>
      </c>
      <c r="F11" s="95" t="inlineStr">
        <is>
          <t>P</t>
        </is>
      </c>
      <c r="G11" s="95" t="inlineStr">
        <is>
          <t>P</t>
        </is>
      </c>
      <c r="H11" s="95" t="inlineStr">
        <is>
          <t>P</t>
        </is>
      </c>
      <c r="I11" s="95" t="inlineStr">
        <is>
          <t>P</t>
        </is>
      </c>
      <c r="J11" s="93" t="inlineStr">
        <is>
          <t>Pharmacy availability follows the tenant plan and pharmacy mode (CAD-11), not the role.</t>
        </is>
      </c>
    </row>
    <row r="12" ht="15" customHeight="1" s="51">
      <c r="A12" s="60" t="n"/>
      <c r="B12" s="60" t="inlineStr">
        <is>
          <t>Reports</t>
        </is>
      </c>
      <c r="C12" s="91" t="inlineStr">
        <is>
          <t>Y</t>
        </is>
      </c>
      <c r="D12" s="92" t="inlineStr">
        <is>
          <t>-</t>
        </is>
      </c>
      <c r="E12" s="92" t="inlineStr">
        <is>
          <t>-</t>
        </is>
      </c>
      <c r="F12" s="92" t="inlineStr">
        <is>
          <t>-</t>
        </is>
      </c>
      <c r="G12" s="91" t="inlineStr">
        <is>
          <t>Y</t>
        </is>
      </c>
      <c r="H12" s="92" t="inlineStr">
        <is>
          <t>-</t>
        </is>
      </c>
      <c r="I12" s="91" t="inlineStr">
        <is>
          <t>Y</t>
        </is>
      </c>
      <c r="J12" s="93" t="n"/>
    </row>
    <row r="13" ht="15" customHeight="1" s="51">
      <c r="A13" s="60" t="n"/>
      <c r="B13" s="60" t="inlineStr">
        <is>
          <t>Staff &amp; Access</t>
        </is>
      </c>
      <c r="C13" s="91" t="inlineStr">
        <is>
          <t>Y</t>
        </is>
      </c>
      <c r="D13" s="91" t="inlineStr">
        <is>
          <t>Y</t>
        </is>
      </c>
      <c r="E13" s="91" t="inlineStr">
        <is>
          <t>Y</t>
        </is>
      </c>
      <c r="F13" s="91" t="inlineStr">
        <is>
          <t>Y</t>
        </is>
      </c>
      <c r="G13" s="91" t="inlineStr">
        <is>
          <t>Y</t>
        </is>
      </c>
      <c r="H13" s="92" t="inlineStr">
        <is>
          <t>-</t>
        </is>
      </c>
      <c r="I13" s="91" t="inlineStr">
        <is>
          <t>Y</t>
        </is>
      </c>
      <c r="J13" s="93" t="n"/>
    </row>
    <row r="14" ht="15" customHeight="1" s="51">
      <c r="A14" s="60" t="n"/>
      <c r="B14" s="60" t="inlineStr">
        <is>
          <t>Clinic Setup</t>
        </is>
      </c>
      <c r="C14" s="91" t="inlineStr">
        <is>
          <t>Y</t>
        </is>
      </c>
      <c r="D14" s="92" t="inlineStr">
        <is>
          <t>-</t>
        </is>
      </c>
      <c r="E14" s="91" t="inlineStr">
        <is>
          <t>Y</t>
        </is>
      </c>
      <c r="F14" s="92" t="inlineStr">
        <is>
          <t>-</t>
        </is>
      </c>
      <c r="G14" s="92" t="inlineStr">
        <is>
          <t>-</t>
        </is>
      </c>
      <c r="H14" s="92" t="inlineStr">
        <is>
          <t>-</t>
        </is>
      </c>
      <c r="I14" s="91" t="inlineStr">
        <is>
          <t>Y</t>
        </is>
      </c>
      <c r="J14" s="93" t="n"/>
    </row>
    <row r="15" ht="15" customHeight="1" s="51">
      <c r="A15" s="60" t="n"/>
      <c r="B15" s="60" t="inlineStr">
        <is>
          <t>Compliance &amp; Audit</t>
        </is>
      </c>
      <c r="C15" s="91" t="inlineStr">
        <is>
          <t>Y</t>
        </is>
      </c>
      <c r="D15" s="92" t="inlineStr">
        <is>
          <t>-</t>
        </is>
      </c>
      <c r="E15" s="92" t="inlineStr">
        <is>
          <t>-</t>
        </is>
      </c>
      <c r="F15" s="91" t="inlineStr">
        <is>
          <t>Y</t>
        </is>
      </c>
      <c r="G15" s="91" t="inlineStr">
        <is>
          <t>Y</t>
        </is>
      </c>
      <c r="H15" s="92" t="inlineStr">
        <is>
          <t>-</t>
        </is>
      </c>
      <c r="I15" s="91" t="inlineStr">
        <is>
          <t>Y</t>
        </is>
      </c>
      <c r="J15" s="93" t="n"/>
    </row>
    <row r="16" ht="22.35" customHeight="1" s="51">
      <c r="A16" s="75" t="inlineStr">
        <is>
          <t>Doctor</t>
        </is>
      </c>
      <c r="B16" s="90" t="inlineStr">
        <is>
          <t>Patients</t>
        </is>
      </c>
      <c r="C16" s="91" t="inlineStr">
        <is>
          <t>Y</t>
        </is>
      </c>
      <c r="D16" s="91" t="inlineStr">
        <is>
          <t>Y</t>
        </is>
      </c>
      <c r="E16" s="91" t="inlineStr">
        <is>
          <t>Y</t>
        </is>
      </c>
      <c r="F16" s="92" t="inlineStr">
        <is>
          <t>-</t>
        </is>
      </c>
      <c r="G16" s="94" t="inlineStr">
        <is>
          <t>N</t>
        </is>
      </c>
      <c r="H16" s="92" t="inlineStr">
        <is>
          <t>-</t>
        </is>
      </c>
      <c r="I16" s="92" t="inlineStr">
        <is>
          <t>-</t>
        </is>
      </c>
      <c r="J16" s="93" t="inlineStr">
        <is>
          <t>Scope is per staff member: own patients only, or all clinic patients. Enforced in the query (E06).</t>
        </is>
      </c>
    </row>
    <row r="17" ht="15" customHeight="1" s="51">
      <c r="A17" s="60" t="n"/>
      <c r="B17" s="60" t="inlineStr">
        <is>
          <t>Queue &amp; Appointments</t>
        </is>
      </c>
      <c r="C17" s="91" t="inlineStr">
        <is>
          <t>Y</t>
        </is>
      </c>
      <c r="D17" s="92" t="inlineStr">
        <is>
          <t>-</t>
        </is>
      </c>
      <c r="E17" s="91" t="inlineStr">
        <is>
          <t>Y</t>
        </is>
      </c>
      <c r="F17" s="92" t="inlineStr">
        <is>
          <t>-</t>
        </is>
      </c>
      <c r="G17" s="92" t="inlineStr">
        <is>
          <t>-</t>
        </is>
      </c>
      <c r="H17" s="92" t="inlineStr">
        <is>
          <t>-</t>
        </is>
      </c>
      <c r="I17" s="92" t="inlineStr">
        <is>
          <t>-</t>
        </is>
      </c>
      <c r="J17" s="93" t="n"/>
    </row>
    <row r="18" ht="15" customHeight="1" s="51">
      <c r="A18" s="60" t="n"/>
      <c r="B18" s="60" t="inlineStr">
        <is>
          <t>Clinical Records</t>
        </is>
      </c>
      <c r="C18" s="91" t="inlineStr">
        <is>
          <t>Y</t>
        </is>
      </c>
      <c r="D18" s="91" t="inlineStr">
        <is>
          <t>Y</t>
        </is>
      </c>
      <c r="E18" s="91" t="inlineStr">
        <is>
          <t>Y</t>
        </is>
      </c>
      <c r="F18" s="91" t="inlineStr">
        <is>
          <t>Y</t>
        </is>
      </c>
      <c r="G18" s="94" t="inlineStr">
        <is>
          <t>N</t>
        </is>
      </c>
      <c r="H18" s="92" t="inlineStr">
        <is>
          <t>-</t>
        </is>
      </c>
      <c r="I18" s="92" t="inlineStr">
        <is>
          <t>-</t>
        </is>
      </c>
      <c r="J18" s="93" t="n"/>
    </row>
    <row r="19" ht="15" customHeight="1" s="51">
      <c r="A19" s="60" t="n"/>
      <c r="B19" s="60" t="inlineStr">
        <is>
          <t>Billing &amp; Payments</t>
        </is>
      </c>
      <c r="C19" s="91" t="inlineStr">
        <is>
          <t>Y</t>
        </is>
      </c>
      <c r="D19" s="92" t="inlineStr">
        <is>
          <t>-</t>
        </is>
      </c>
      <c r="E19" s="92" t="inlineStr">
        <is>
          <t>-</t>
        </is>
      </c>
      <c r="F19" s="92" t="inlineStr">
        <is>
          <t>-</t>
        </is>
      </c>
      <c r="G19" s="92" t="inlineStr">
        <is>
          <t>-</t>
        </is>
      </c>
      <c r="H19" s="92" t="inlineStr">
        <is>
          <t>-</t>
        </is>
      </c>
      <c r="I19" s="92" t="inlineStr">
        <is>
          <t>-</t>
        </is>
      </c>
      <c r="J19" s="93" t="n"/>
    </row>
    <row r="20" ht="15" customHeight="1" s="51">
      <c r="A20" s="60" t="n"/>
      <c r="B20" s="60" t="inlineStr">
        <is>
          <t>Packages</t>
        </is>
      </c>
      <c r="C20" s="91" t="inlineStr">
        <is>
          <t>Y</t>
        </is>
      </c>
      <c r="D20" s="91" t="inlineStr">
        <is>
          <t>Y</t>
        </is>
      </c>
      <c r="E20" s="91" t="inlineStr">
        <is>
          <t>Y</t>
        </is>
      </c>
      <c r="F20" s="92" t="inlineStr">
        <is>
          <t>-</t>
        </is>
      </c>
      <c r="G20" s="92" t="inlineStr">
        <is>
          <t>-</t>
        </is>
      </c>
      <c r="H20" s="92" t="inlineStr">
        <is>
          <t>-</t>
        </is>
      </c>
      <c r="I20" s="92" t="inlineStr">
        <is>
          <t>-</t>
        </is>
      </c>
      <c r="J20" s="93" t="n"/>
    </row>
    <row r="21" ht="22.35" customHeight="1" s="51">
      <c r="A21" s="60" t="n"/>
      <c r="B21" s="60" t="inlineStr">
        <is>
          <t>Pharmacy</t>
        </is>
      </c>
      <c r="C21" s="95" t="inlineStr">
        <is>
          <t>P</t>
        </is>
      </c>
      <c r="D21" s="95" t="inlineStr">
        <is>
          <t>P</t>
        </is>
      </c>
      <c r="E21" s="94" t="inlineStr">
        <is>
          <t>N</t>
        </is>
      </c>
      <c r="F21" s="92" t="inlineStr">
        <is>
          <t>-</t>
        </is>
      </c>
      <c r="G21" s="92" t="inlineStr">
        <is>
          <t>-</t>
        </is>
      </c>
      <c r="H21" s="92" t="inlineStr">
        <is>
          <t>-</t>
        </is>
      </c>
      <c r="I21" s="92" t="inlineStr">
        <is>
          <t>-</t>
        </is>
      </c>
      <c r="J21" s="93" t="inlineStr">
        <is>
          <t>External mode removes dispensing entirely; hybrid and in-house are paid tiers.</t>
        </is>
      </c>
    </row>
    <row r="22" ht="15" customHeight="1" s="51">
      <c r="A22" s="60" t="n"/>
      <c r="B22" s="60" t="inlineStr">
        <is>
          <t>Reports</t>
        </is>
      </c>
      <c r="C22" s="91" t="inlineStr">
        <is>
          <t>Y</t>
        </is>
      </c>
      <c r="D22" s="92" t="inlineStr">
        <is>
          <t>-</t>
        </is>
      </c>
      <c r="E22" s="92" t="inlineStr">
        <is>
          <t>-</t>
        </is>
      </c>
      <c r="F22" s="92" t="inlineStr">
        <is>
          <t>-</t>
        </is>
      </c>
      <c r="G22" s="94" t="inlineStr">
        <is>
          <t>N</t>
        </is>
      </c>
      <c r="H22" s="92" t="inlineStr">
        <is>
          <t>-</t>
        </is>
      </c>
      <c r="I22" s="92" t="inlineStr">
        <is>
          <t>-</t>
        </is>
      </c>
      <c r="J22" s="93" t="n"/>
    </row>
    <row r="23" ht="15" customHeight="1" s="51">
      <c r="A23" s="60" t="n"/>
      <c r="B23" s="60" t="inlineStr">
        <is>
          <t>Staff &amp; Access</t>
        </is>
      </c>
      <c r="C23" s="94" t="inlineStr">
        <is>
          <t>N</t>
        </is>
      </c>
      <c r="D23" s="92" t="inlineStr">
        <is>
          <t>-</t>
        </is>
      </c>
      <c r="E23" s="92" t="inlineStr">
        <is>
          <t>-</t>
        </is>
      </c>
      <c r="F23" s="92" t="inlineStr">
        <is>
          <t>-</t>
        </is>
      </c>
      <c r="G23" s="92" t="inlineStr">
        <is>
          <t>-</t>
        </is>
      </c>
      <c r="H23" s="92" t="inlineStr">
        <is>
          <t>-</t>
        </is>
      </c>
      <c r="I23" s="92" t="inlineStr">
        <is>
          <t>-</t>
        </is>
      </c>
      <c r="J23" s="93" t="n"/>
    </row>
    <row r="24" ht="15" customHeight="1" s="51">
      <c r="A24" s="60" t="n"/>
      <c r="B24" s="60" t="inlineStr">
        <is>
          <t>Clinic Setup</t>
        </is>
      </c>
      <c r="C24" s="94" t="inlineStr">
        <is>
          <t>N</t>
        </is>
      </c>
      <c r="D24" s="92" t="inlineStr">
        <is>
          <t>-</t>
        </is>
      </c>
      <c r="E24" s="92" t="inlineStr">
        <is>
          <t>-</t>
        </is>
      </c>
      <c r="F24" s="92" t="inlineStr">
        <is>
          <t>-</t>
        </is>
      </c>
      <c r="G24" s="92" t="inlineStr">
        <is>
          <t>-</t>
        </is>
      </c>
      <c r="H24" s="92" t="inlineStr">
        <is>
          <t>-</t>
        </is>
      </c>
      <c r="I24" s="92" t="inlineStr">
        <is>
          <t>-</t>
        </is>
      </c>
      <c r="J24" s="93" t="n"/>
    </row>
    <row r="25" ht="15" customHeight="1" s="51">
      <c r="A25" s="60" t="n"/>
      <c r="B25" s="60" t="inlineStr">
        <is>
          <t>Compliance &amp; Audit</t>
        </is>
      </c>
      <c r="C25" s="94" t="inlineStr">
        <is>
          <t>N</t>
        </is>
      </c>
      <c r="D25" s="92" t="inlineStr">
        <is>
          <t>-</t>
        </is>
      </c>
      <c r="E25" s="92" t="inlineStr">
        <is>
          <t>-</t>
        </is>
      </c>
      <c r="F25" s="92" t="inlineStr">
        <is>
          <t>-</t>
        </is>
      </c>
      <c r="G25" s="92" t="inlineStr">
        <is>
          <t>-</t>
        </is>
      </c>
      <c r="H25" s="92" t="inlineStr">
        <is>
          <t>-</t>
        </is>
      </c>
      <c r="I25" s="92" t="inlineStr">
        <is>
          <t>-</t>
        </is>
      </c>
      <c r="J25" s="93" t="n"/>
    </row>
    <row r="26" ht="15" customHeight="1" s="51">
      <c r="A26" s="75" t="inlineStr">
        <is>
          <t>Receptionist</t>
        </is>
      </c>
      <c r="B26" s="90" t="inlineStr">
        <is>
          <t>Patients</t>
        </is>
      </c>
      <c r="C26" s="91" t="inlineStr">
        <is>
          <t>Y</t>
        </is>
      </c>
      <c r="D26" s="91" t="inlineStr">
        <is>
          <t>Y</t>
        </is>
      </c>
      <c r="E26" s="91" t="inlineStr">
        <is>
          <t>Y</t>
        </is>
      </c>
      <c r="F26" s="92" t="inlineStr">
        <is>
          <t>-</t>
        </is>
      </c>
      <c r="G26" s="94" t="inlineStr">
        <is>
          <t>N</t>
        </is>
      </c>
      <c r="H26" s="92" t="inlineStr">
        <is>
          <t>-</t>
        </is>
      </c>
      <c r="I26" s="92" t="inlineStr">
        <is>
          <t>-</t>
        </is>
      </c>
      <c r="J26" s="93" t="n"/>
    </row>
    <row r="27" ht="15" customHeight="1" s="51">
      <c r="A27" s="60" t="n"/>
      <c r="B27" s="60" t="inlineStr">
        <is>
          <t>Queue &amp; Appointments</t>
        </is>
      </c>
      <c r="C27" s="91" t="inlineStr">
        <is>
          <t>Y</t>
        </is>
      </c>
      <c r="D27" s="91" t="inlineStr">
        <is>
          <t>Y</t>
        </is>
      </c>
      <c r="E27" s="91" t="inlineStr">
        <is>
          <t>Y</t>
        </is>
      </c>
      <c r="F27" s="92" t="inlineStr">
        <is>
          <t>-</t>
        </is>
      </c>
      <c r="G27" s="92" t="inlineStr">
        <is>
          <t>-</t>
        </is>
      </c>
      <c r="H27" s="92" t="inlineStr">
        <is>
          <t>-</t>
        </is>
      </c>
      <c r="I27" s="92" t="inlineStr">
        <is>
          <t>-</t>
        </is>
      </c>
      <c r="J27" s="93" t="n"/>
    </row>
    <row r="28" ht="15" customHeight="1" s="51">
      <c r="A28" s="60" t="n"/>
      <c r="B28" s="60" t="inlineStr">
        <is>
          <t>Clinical Records</t>
        </is>
      </c>
      <c r="C28" s="94" t="inlineStr">
        <is>
          <t>N</t>
        </is>
      </c>
      <c r="D28" s="92" t="inlineStr">
        <is>
          <t>-</t>
        </is>
      </c>
      <c r="E28" s="92" t="inlineStr">
        <is>
          <t>-</t>
        </is>
      </c>
      <c r="F28" s="92" t="inlineStr">
        <is>
          <t>-</t>
        </is>
      </c>
      <c r="G28" s="92" t="inlineStr">
        <is>
          <t>-</t>
        </is>
      </c>
      <c r="H28" s="92" t="inlineStr">
        <is>
          <t>-</t>
        </is>
      </c>
      <c r="I28" s="92" t="inlineStr">
        <is>
          <t>-</t>
        </is>
      </c>
      <c r="J28" s="93" t="n"/>
    </row>
    <row r="29" ht="22.35" customHeight="1" s="51">
      <c r="A29" s="60" t="n"/>
      <c r="B29" s="60" t="inlineStr">
        <is>
          <t>Billing &amp; Payments</t>
        </is>
      </c>
      <c r="C29" s="91" t="inlineStr">
        <is>
          <t>Y</t>
        </is>
      </c>
      <c r="D29" s="91" t="inlineStr">
        <is>
          <t>Y</t>
        </is>
      </c>
      <c r="E29" s="91" t="inlineStr">
        <is>
          <t>Y</t>
        </is>
      </c>
      <c r="F29" s="94" t="inlineStr">
        <is>
          <t>N</t>
        </is>
      </c>
      <c r="G29" s="91" t="inlineStr">
        <is>
          <t>Y</t>
        </is>
      </c>
      <c r="H29" s="94" t="inlineStr">
        <is>
          <t>N</t>
        </is>
      </c>
      <c r="I29" s="92" t="inlineStr">
        <is>
          <t>-</t>
        </is>
      </c>
      <c r="J29" s="93" t="inlineStr">
        <is>
          <t>Refund and discount rights are individually revocable — the wireframe shows a 'no refund, no discount' receptionist.</t>
        </is>
      </c>
    </row>
    <row r="30" ht="15" customHeight="1" s="51">
      <c r="A30" s="60" t="n"/>
      <c r="B30" s="60" t="inlineStr">
        <is>
          <t>Packages</t>
        </is>
      </c>
      <c r="C30" s="91" t="inlineStr">
        <is>
          <t>Y</t>
        </is>
      </c>
      <c r="D30" s="91" t="inlineStr">
        <is>
          <t>Y</t>
        </is>
      </c>
      <c r="E30" s="94" t="inlineStr">
        <is>
          <t>N</t>
        </is>
      </c>
      <c r="F30" s="92" t="inlineStr">
        <is>
          <t>-</t>
        </is>
      </c>
      <c r="G30" s="92" t="inlineStr">
        <is>
          <t>-</t>
        </is>
      </c>
      <c r="H30" s="92" t="inlineStr">
        <is>
          <t>-</t>
        </is>
      </c>
      <c r="I30" s="92" t="inlineStr">
        <is>
          <t>-</t>
        </is>
      </c>
      <c r="J30" s="93" t="n"/>
    </row>
    <row r="31" ht="15" customHeight="1" s="51">
      <c r="A31" s="60" t="n"/>
      <c r="B31" s="60" t="inlineStr">
        <is>
          <t>Pharmacy</t>
        </is>
      </c>
      <c r="C31" s="95" t="inlineStr">
        <is>
          <t>P</t>
        </is>
      </c>
      <c r="D31" s="95" t="inlineStr">
        <is>
          <t>P</t>
        </is>
      </c>
      <c r="E31" s="94" t="inlineStr">
        <is>
          <t>N</t>
        </is>
      </c>
      <c r="F31" s="92" t="inlineStr">
        <is>
          <t>-</t>
        </is>
      </c>
      <c r="G31" s="92" t="inlineStr">
        <is>
          <t>-</t>
        </is>
      </c>
      <c r="H31" s="92" t="inlineStr">
        <is>
          <t>-</t>
        </is>
      </c>
      <c r="I31" s="92" t="inlineStr">
        <is>
          <t>-</t>
        </is>
      </c>
      <c r="J31" s="93" t="n"/>
    </row>
    <row r="32" ht="15" customHeight="1" s="51">
      <c r="A32" s="60" t="n"/>
      <c r="B32" s="60" t="inlineStr">
        <is>
          <t>Reports</t>
        </is>
      </c>
      <c r="C32" s="94" t="inlineStr">
        <is>
          <t>N</t>
        </is>
      </c>
      <c r="D32" s="92" t="inlineStr">
        <is>
          <t>-</t>
        </is>
      </c>
      <c r="E32" s="92" t="inlineStr">
        <is>
          <t>-</t>
        </is>
      </c>
      <c r="F32" s="92" t="inlineStr">
        <is>
          <t>-</t>
        </is>
      </c>
      <c r="G32" s="92" t="inlineStr">
        <is>
          <t>-</t>
        </is>
      </c>
      <c r="H32" s="92" t="inlineStr">
        <is>
          <t>-</t>
        </is>
      </c>
      <c r="I32" s="92" t="inlineStr">
        <is>
          <t>-</t>
        </is>
      </c>
      <c r="J32" s="93" t="n"/>
    </row>
    <row r="33" ht="15" customHeight="1" s="51">
      <c r="A33" s="60" t="n"/>
      <c r="B33" s="60" t="inlineStr">
        <is>
          <t>Staff &amp; Access</t>
        </is>
      </c>
      <c r="C33" s="94" t="inlineStr">
        <is>
          <t>N</t>
        </is>
      </c>
      <c r="D33" s="92" t="inlineStr">
        <is>
          <t>-</t>
        </is>
      </c>
      <c r="E33" s="92" t="inlineStr">
        <is>
          <t>-</t>
        </is>
      </c>
      <c r="F33" s="92" t="inlineStr">
        <is>
          <t>-</t>
        </is>
      </c>
      <c r="G33" s="92" t="inlineStr">
        <is>
          <t>-</t>
        </is>
      </c>
      <c r="H33" s="92" t="inlineStr">
        <is>
          <t>-</t>
        </is>
      </c>
      <c r="I33" s="92" t="inlineStr">
        <is>
          <t>-</t>
        </is>
      </c>
      <c r="J33" s="93" t="n"/>
    </row>
    <row r="34" ht="15" customHeight="1" s="51">
      <c r="A34" s="60" t="n"/>
      <c r="B34" s="60" t="inlineStr">
        <is>
          <t>Clinic Setup</t>
        </is>
      </c>
      <c r="C34" s="94" t="inlineStr">
        <is>
          <t>N</t>
        </is>
      </c>
      <c r="D34" s="92" t="inlineStr">
        <is>
          <t>-</t>
        </is>
      </c>
      <c r="E34" s="92" t="inlineStr">
        <is>
          <t>-</t>
        </is>
      </c>
      <c r="F34" s="92" t="inlineStr">
        <is>
          <t>-</t>
        </is>
      </c>
      <c r="G34" s="92" t="inlineStr">
        <is>
          <t>-</t>
        </is>
      </c>
      <c r="H34" s="92" t="inlineStr">
        <is>
          <t>-</t>
        </is>
      </c>
      <c r="I34" s="92" t="inlineStr">
        <is>
          <t>-</t>
        </is>
      </c>
      <c r="J34" s="93" t="n"/>
    </row>
    <row r="35" ht="15" customHeight="1" s="51">
      <c r="A35" s="60" t="n"/>
      <c r="B35" s="60" t="inlineStr">
        <is>
          <t>Compliance &amp; Audit</t>
        </is>
      </c>
      <c r="C35" s="94" t="inlineStr">
        <is>
          <t>N</t>
        </is>
      </c>
      <c r="D35" s="92" t="inlineStr">
        <is>
          <t>-</t>
        </is>
      </c>
      <c r="E35" s="92" t="inlineStr">
        <is>
          <t>-</t>
        </is>
      </c>
      <c r="F35" s="92" t="inlineStr">
        <is>
          <t>-</t>
        </is>
      </c>
      <c r="G35" s="92" t="inlineStr">
        <is>
          <t>-</t>
        </is>
      </c>
      <c r="H35" s="92" t="inlineStr">
        <is>
          <t>-</t>
        </is>
      </c>
      <c r="I35" s="92" t="inlineStr">
        <is>
          <t>-</t>
        </is>
      </c>
      <c r="J35" s="93" t="n"/>
    </row>
    <row r="36" ht="15" customHeight="1" s="51">
      <c r="A36" s="75" t="inlineStr">
        <is>
          <t>Nurse</t>
        </is>
      </c>
      <c r="B36" s="90" t="inlineStr">
        <is>
          <t>Patients</t>
        </is>
      </c>
      <c r="C36" s="91" t="inlineStr">
        <is>
          <t>Y</t>
        </is>
      </c>
      <c r="D36" s="94" t="inlineStr">
        <is>
          <t>N</t>
        </is>
      </c>
      <c r="E36" s="91" t="inlineStr">
        <is>
          <t>Y</t>
        </is>
      </c>
      <c r="F36" s="92" t="inlineStr">
        <is>
          <t>-</t>
        </is>
      </c>
      <c r="G36" s="94" t="inlineStr">
        <is>
          <t>N</t>
        </is>
      </c>
      <c r="H36" s="92" t="inlineStr">
        <is>
          <t>-</t>
        </is>
      </c>
      <c r="I36" s="92" t="inlineStr">
        <is>
          <t>-</t>
        </is>
      </c>
      <c r="J36" s="93" t="n"/>
    </row>
    <row r="37" ht="15" customHeight="1" s="51">
      <c r="A37" s="60" t="n"/>
      <c r="B37" s="60" t="inlineStr">
        <is>
          <t>Queue &amp; Appointments</t>
        </is>
      </c>
      <c r="C37" s="91" t="inlineStr">
        <is>
          <t>Y</t>
        </is>
      </c>
      <c r="D37" s="92" t="inlineStr">
        <is>
          <t>-</t>
        </is>
      </c>
      <c r="E37" s="91" t="inlineStr">
        <is>
          <t>Y</t>
        </is>
      </c>
      <c r="F37" s="92" t="inlineStr">
        <is>
          <t>-</t>
        </is>
      </c>
      <c r="G37" s="92" t="inlineStr">
        <is>
          <t>-</t>
        </is>
      </c>
      <c r="H37" s="92" t="inlineStr">
        <is>
          <t>-</t>
        </is>
      </c>
      <c r="I37" s="92" t="inlineStr">
        <is>
          <t>-</t>
        </is>
      </c>
      <c r="J37" s="93" t="n"/>
    </row>
    <row r="38" ht="15" customHeight="1" s="51">
      <c r="A38" s="60" t="n"/>
      <c r="B38" s="60" t="inlineStr">
        <is>
          <t>Clinical Records</t>
        </is>
      </c>
      <c r="C38" s="91" t="inlineStr">
        <is>
          <t>Y</t>
        </is>
      </c>
      <c r="D38" s="91" t="inlineStr">
        <is>
          <t>Y</t>
        </is>
      </c>
      <c r="E38" s="91" t="inlineStr">
        <is>
          <t>Y</t>
        </is>
      </c>
      <c r="F38" s="92" t="inlineStr">
        <is>
          <t>-</t>
        </is>
      </c>
      <c r="G38" s="94" t="inlineStr">
        <is>
          <t>N</t>
        </is>
      </c>
      <c r="H38" s="92" t="inlineStr">
        <is>
          <t>-</t>
        </is>
      </c>
      <c r="I38" s="92" t="inlineStr">
        <is>
          <t>-</t>
        </is>
      </c>
      <c r="J38" s="93" t="inlineStr">
        <is>
          <t>May be narrowed to vitals and vaccines only.</t>
        </is>
      </c>
    </row>
    <row r="39" ht="15" customHeight="1" s="51">
      <c r="A39" s="60" t="n"/>
      <c r="B39" s="60" t="inlineStr">
        <is>
          <t>Billing &amp; Payments</t>
        </is>
      </c>
      <c r="C39" s="94" t="inlineStr">
        <is>
          <t>N</t>
        </is>
      </c>
      <c r="D39" s="92" t="inlineStr">
        <is>
          <t>-</t>
        </is>
      </c>
      <c r="E39" s="92" t="inlineStr">
        <is>
          <t>-</t>
        </is>
      </c>
      <c r="F39" s="92" t="inlineStr">
        <is>
          <t>-</t>
        </is>
      </c>
      <c r="G39" s="92" t="inlineStr">
        <is>
          <t>-</t>
        </is>
      </c>
      <c r="H39" s="92" t="inlineStr">
        <is>
          <t>-</t>
        </is>
      </c>
      <c r="I39" s="92" t="inlineStr">
        <is>
          <t>-</t>
        </is>
      </c>
      <c r="J39" s="93" t="n"/>
    </row>
    <row r="40" ht="15" customHeight="1" s="51">
      <c r="A40" s="60" t="n"/>
      <c r="B40" s="60" t="inlineStr">
        <is>
          <t>Packages</t>
        </is>
      </c>
      <c r="C40" s="91" t="inlineStr">
        <is>
          <t>Y</t>
        </is>
      </c>
      <c r="D40" s="92" t="inlineStr">
        <is>
          <t>-</t>
        </is>
      </c>
      <c r="E40" s="91" t="inlineStr">
        <is>
          <t>Y</t>
        </is>
      </c>
      <c r="F40" s="92" t="inlineStr">
        <is>
          <t>-</t>
        </is>
      </c>
      <c r="G40" s="92" t="inlineStr">
        <is>
          <t>-</t>
        </is>
      </c>
      <c r="H40" s="92" t="inlineStr">
        <is>
          <t>-</t>
        </is>
      </c>
      <c r="I40" s="92" t="inlineStr">
        <is>
          <t>-</t>
        </is>
      </c>
      <c r="J40" s="93" t="n"/>
    </row>
    <row r="41" ht="15" customHeight="1" s="51">
      <c r="A41" s="60" t="n"/>
      <c r="B41" s="60" t="inlineStr">
        <is>
          <t>Pharmacy</t>
        </is>
      </c>
      <c r="C41" s="95" t="inlineStr">
        <is>
          <t>P</t>
        </is>
      </c>
      <c r="D41" s="94" t="inlineStr">
        <is>
          <t>N</t>
        </is>
      </c>
      <c r="E41" s="94" t="inlineStr">
        <is>
          <t>N</t>
        </is>
      </c>
      <c r="F41" s="92" t="inlineStr">
        <is>
          <t>-</t>
        </is>
      </c>
      <c r="G41" s="92" t="inlineStr">
        <is>
          <t>-</t>
        </is>
      </c>
      <c r="H41" s="92" t="inlineStr">
        <is>
          <t>-</t>
        </is>
      </c>
      <c r="I41" s="92" t="inlineStr">
        <is>
          <t>-</t>
        </is>
      </c>
      <c r="J41" s="93" t="n"/>
    </row>
    <row r="42" ht="15" customHeight="1" s="51">
      <c r="A42" s="60" t="n"/>
      <c r="B42" s="60" t="inlineStr">
        <is>
          <t>Reports</t>
        </is>
      </c>
      <c r="C42" s="94" t="inlineStr">
        <is>
          <t>N</t>
        </is>
      </c>
      <c r="D42" s="92" t="inlineStr">
        <is>
          <t>-</t>
        </is>
      </c>
      <c r="E42" s="92" t="inlineStr">
        <is>
          <t>-</t>
        </is>
      </c>
      <c r="F42" s="92" t="inlineStr">
        <is>
          <t>-</t>
        </is>
      </c>
      <c r="G42" s="92" t="inlineStr">
        <is>
          <t>-</t>
        </is>
      </c>
      <c r="H42" s="92" t="inlineStr">
        <is>
          <t>-</t>
        </is>
      </c>
      <c r="I42" s="92" t="inlineStr">
        <is>
          <t>-</t>
        </is>
      </c>
      <c r="J42" s="93" t="n"/>
    </row>
    <row r="43" ht="15" customHeight="1" s="51">
      <c r="A43" s="60" t="n"/>
      <c r="B43" s="60" t="inlineStr">
        <is>
          <t>Staff &amp; Access</t>
        </is>
      </c>
      <c r="C43" s="94" t="inlineStr">
        <is>
          <t>N</t>
        </is>
      </c>
      <c r="D43" s="92" t="inlineStr">
        <is>
          <t>-</t>
        </is>
      </c>
      <c r="E43" s="92" t="inlineStr">
        <is>
          <t>-</t>
        </is>
      </c>
      <c r="F43" s="92" t="inlineStr">
        <is>
          <t>-</t>
        </is>
      </c>
      <c r="G43" s="92" t="inlineStr">
        <is>
          <t>-</t>
        </is>
      </c>
      <c r="H43" s="92" t="inlineStr">
        <is>
          <t>-</t>
        </is>
      </c>
      <c r="I43" s="92" t="inlineStr">
        <is>
          <t>-</t>
        </is>
      </c>
      <c r="J43" s="93" t="n"/>
    </row>
    <row r="44" ht="15" customHeight="1" s="51">
      <c r="A44" s="60" t="n"/>
      <c r="B44" s="60" t="inlineStr">
        <is>
          <t>Clinic Setup</t>
        </is>
      </c>
      <c r="C44" s="94" t="inlineStr">
        <is>
          <t>N</t>
        </is>
      </c>
      <c r="D44" s="92" t="inlineStr">
        <is>
          <t>-</t>
        </is>
      </c>
      <c r="E44" s="92" t="inlineStr">
        <is>
          <t>-</t>
        </is>
      </c>
      <c r="F44" s="92" t="inlineStr">
        <is>
          <t>-</t>
        </is>
      </c>
      <c r="G44" s="92" t="inlineStr">
        <is>
          <t>-</t>
        </is>
      </c>
      <c r="H44" s="92" t="inlineStr">
        <is>
          <t>-</t>
        </is>
      </c>
      <c r="I44" s="92" t="inlineStr">
        <is>
          <t>-</t>
        </is>
      </c>
      <c r="J44" s="93" t="n"/>
    </row>
    <row r="45" ht="15" customHeight="1" s="51">
      <c r="A45" s="60" t="n"/>
      <c r="B45" s="60" t="inlineStr">
        <is>
          <t>Compliance &amp; Audit</t>
        </is>
      </c>
      <c r="C45" s="94" t="inlineStr">
        <is>
          <t>N</t>
        </is>
      </c>
      <c r="D45" s="92" t="inlineStr">
        <is>
          <t>-</t>
        </is>
      </c>
      <c r="E45" s="92" t="inlineStr">
        <is>
          <t>-</t>
        </is>
      </c>
      <c r="F45" s="92" t="inlineStr">
        <is>
          <t>-</t>
        </is>
      </c>
      <c r="G45" s="92" t="inlineStr">
        <is>
          <t>-</t>
        </is>
      </c>
      <c r="H45" s="92" t="inlineStr">
        <is>
          <t>-</t>
        </is>
      </c>
      <c r="I45" s="92" t="inlineStr">
        <is>
          <t>-</t>
        </is>
      </c>
      <c r="J45" s="93" t="n"/>
    </row>
    <row r="46" ht="15" customHeight="1" s="51">
      <c r="A46" s="75" t="inlineStr">
        <is>
          <t>Custom (Front Desk + Vitals)</t>
        </is>
      </c>
      <c r="B46" s="90" t="inlineStr">
        <is>
          <t>Patients</t>
        </is>
      </c>
      <c r="C46" s="91" t="inlineStr">
        <is>
          <t>Y</t>
        </is>
      </c>
      <c r="D46" s="91" t="inlineStr">
        <is>
          <t>Y</t>
        </is>
      </c>
      <c r="E46" s="91" t="inlineStr">
        <is>
          <t>Y</t>
        </is>
      </c>
      <c r="F46" s="92" t="inlineStr">
        <is>
          <t>-</t>
        </is>
      </c>
      <c r="G46" s="94" t="inlineStr">
        <is>
          <t>N</t>
        </is>
      </c>
      <c r="H46" s="92" t="inlineStr">
        <is>
          <t>-</t>
        </is>
      </c>
      <c r="I46" s="92" t="inlineStr">
        <is>
          <t>-</t>
        </is>
      </c>
      <c r="J46" s="93" t="n"/>
    </row>
    <row r="47" ht="15" customHeight="1" s="51">
      <c r="A47" s="60" t="n"/>
      <c r="B47" s="60" t="inlineStr">
        <is>
          <t>Queue &amp; Appointments</t>
        </is>
      </c>
      <c r="C47" s="91" t="inlineStr">
        <is>
          <t>Y</t>
        </is>
      </c>
      <c r="D47" s="91" t="inlineStr">
        <is>
          <t>Y</t>
        </is>
      </c>
      <c r="E47" s="91" t="inlineStr">
        <is>
          <t>Y</t>
        </is>
      </c>
      <c r="F47" s="92" t="inlineStr">
        <is>
          <t>-</t>
        </is>
      </c>
      <c r="G47" s="92" t="inlineStr">
        <is>
          <t>-</t>
        </is>
      </c>
      <c r="H47" s="92" t="inlineStr">
        <is>
          <t>-</t>
        </is>
      </c>
      <c r="I47" s="92" t="inlineStr">
        <is>
          <t>-</t>
        </is>
      </c>
      <c r="J47" s="93" t="n"/>
    </row>
    <row r="48" ht="15" customHeight="1" s="51">
      <c r="A48" s="60" t="n"/>
      <c r="B48" s="60" t="inlineStr">
        <is>
          <t>Clinical Records</t>
        </is>
      </c>
      <c r="C48" s="91" t="inlineStr">
        <is>
          <t>Y</t>
        </is>
      </c>
      <c r="D48" s="91" t="inlineStr">
        <is>
          <t>Y</t>
        </is>
      </c>
      <c r="E48" s="94" t="inlineStr">
        <is>
          <t>N</t>
        </is>
      </c>
      <c r="F48" s="92" t="inlineStr">
        <is>
          <t>-</t>
        </is>
      </c>
      <c r="G48" s="94" t="inlineStr">
        <is>
          <t>N</t>
        </is>
      </c>
      <c r="H48" s="92" t="inlineStr">
        <is>
          <t>-</t>
        </is>
      </c>
      <c r="I48" s="92" t="inlineStr">
        <is>
          <t>-</t>
        </is>
      </c>
      <c r="J48" s="93" t="n"/>
    </row>
    <row r="49" ht="15" customHeight="1" s="51">
      <c r="A49" s="60" t="n"/>
      <c r="B49" s="60" t="inlineStr">
        <is>
          <t>Billing &amp; Payments</t>
        </is>
      </c>
      <c r="C49" s="91" t="inlineStr">
        <is>
          <t>Y</t>
        </is>
      </c>
      <c r="D49" s="91" t="inlineStr">
        <is>
          <t>Y</t>
        </is>
      </c>
      <c r="E49" s="91" t="inlineStr">
        <is>
          <t>Y</t>
        </is>
      </c>
      <c r="F49" s="94" t="inlineStr">
        <is>
          <t>N</t>
        </is>
      </c>
      <c r="G49" s="91" t="inlineStr">
        <is>
          <t>Y</t>
        </is>
      </c>
      <c r="H49" s="94" t="inlineStr">
        <is>
          <t>N</t>
        </is>
      </c>
      <c r="I49" s="92" t="inlineStr">
        <is>
          <t>-</t>
        </is>
      </c>
      <c r="J49" s="93" t="inlineStr">
        <is>
          <t>The wireframe's example custom role: 'no financial fields'.</t>
        </is>
      </c>
    </row>
    <row r="50" ht="15" customHeight="1" s="51">
      <c r="A50" s="60" t="n"/>
      <c r="B50" s="60" t="inlineStr">
        <is>
          <t>Packages</t>
        </is>
      </c>
      <c r="C50" s="91" t="inlineStr">
        <is>
          <t>Y</t>
        </is>
      </c>
      <c r="D50" s="91" t="inlineStr">
        <is>
          <t>Y</t>
        </is>
      </c>
      <c r="E50" s="94" t="inlineStr">
        <is>
          <t>N</t>
        </is>
      </c>
      <c r="F50" s="92" t="inlineStr">
        <is>
          <t>-</t>
        </is>
      </c>
      <c r="G50" s="92" t="inlineStr">
        <is>
          <t>-</t>
        </is>
      </c>
      <c r="H50" s="92" t="inlineStr">
        <is>
          <t>-</t>
        </is>
      </c>
      <c r="I50" s="92" t="inlineStr">
        <is>
          <t>-</t>
        </is>
      </c>
      <c r="J50" s="93" t="n"/>
    </row>
    <row r="51" ht="15" customHeight="1" s="51">
      <c r="A51" s="60" t="n"/>
      <c r="B51" s="60" t="inlineStr">
        <is>
          <t>Pharmacy</t>
        </is>
      </c>
      <c r="C51" s="95" t="inlineStr">
        <is>
          <t>P</t>
        </is>
      </c>
      <c r="D51" s="95" t="inlineStr">
        <is>
          <t>P</t>
        </is>
      </c>
      <c r="E51" s="94" t="inlineStr">
        <is>
          <t>N</t>
        </is>
      </c>
      <c r="F51" s="92" t="inlineStr">
        <is>
          <t>-</t>
        </is>
      </c>
      <c r="G51" s="92" t="inlineStr">
        <is>
          <t>-</t>
        </is>
      </c>
      <c r="H51" s="92" t="inlineStr">
        <is>
          <t>-</t>
        </is>
      </c>
      <c r="I51" s="92" t="inlineStr">
        <is>
          <t>-</t>
        </is>
      </c>
      <c r="J51" s="93" t="n"/>
    </row>
    <row r="52" ht="15" customHeight="1" s="51">
      <c r="A52" s="60" t="n"/>
      <c r="B52" s="60" t="inlineStr">
        <is>
          <t>Reports</t>
        </is>
      </c>
      <c r="C52" s="94" t="inlineStr">
        <is>
          <t>N</t>
        </is>
      </c>
      <c r="D52" s="92" t="inlineStr">
        <is>
          <t>-</t>
        </is>
      </c>
      <c r="E52" s="92" t="inlineStr">
        <is>
          <t>-</t>
        </is>
      </c>
      <c r="F52" s="92" t="inlineStr">
        <is>
          <t>-</t>
        </is>
      </c>
      <c r="G52" s="92" t="inlineStr">
        <is>
          <t>-</t>
        </is>
      </c>
      <c r="H52" s="92" t="inlineStr">
        <is>
          <t>-</t>
        </is>
      </c>
      <c r="I52" s="92" t="inlineStr">
        <is>
          <t>-</t>
        </is>
      </c>
      <c r="J52" s="93" t="n"/>
    </row>
    <row r="53" ht="15" customHeight="1" s="51">
      <c r="A53" s="60" t="n"/>
      <c r="B53" s="60" t="inlineStr">
        <is>
          <t>Staff &amp; Access</t>
        </is>
      </c>
      <c r="C53" s="94" t="inlineStr">
        <is>
          <t>N</t>
        </is>
      </c>
      <c r="D53" s="92" t="inlineStr">
        <is>
          <t>-</t>
        </is>
      </c>
      <c r="E53" s="92" t="inlineStr">
        <is>
          <t>-</t>
        </is>
      </c>
      <c r="F53" s="92" t="inlineStr">
        <is>
          <t>-</t>
        </is>
      </c>
      <c r="G53" s="92" t="inlineStr">
        <is>
          <t>-</t>
        </is>
      </c>
      <c r="H53" s="92" t="inlineStr">
        <is>
          <t>-</t>
        </is>
      </c>
      <c r="I53" s="92" t="inlineStr">
        <is>
          <t>-</t>
        </is>
      </c>
      <c r="J53" s="93" t="n"/>
    </row>
    <row r="54" ht="15" customHeight="1" s="51">
      <c r="A54" s="60" t="n"/>
      <c r="B54" s="60" t="inlineStr">
        <is>
          <t>Clinic Setup</t>
        </is>
      </c>
      <c r="C54" s="94" t="inlineStr">
        <is>
          <t>N</t>
        </is>
      </c>
      <c r="D54" s="92" t="inlineStr">
        <is>
          <t>-</t>
        </is>
      </c>
      <c r="E54" s="92" t="inlineStr">
        <is>
          <t>-</t>
        </is>
      </c>
      <c r="F54" s="92" t="inlineStr">
        <is>
          <t>-</t>
        </is>
      </c>
      <c r="G54" s="92" t="inlineStr">
        <is>
          <t>-</t>
        </is>
      </c>
      <c r="H54" s="92" t="inlineStr">
        <is>
          <t>-</t>
        </is>
      </c>
      <c r="I54" s="92" t="inlineStr">
        <is>
          <t>-</t>
        </is>
      </c>
      <c r="J54" s="93" t="n"/>
    </row>
    <row r="55" ht="15" customHeight="1" s="51">
      <c r="A55" s="60" t="n"/>
      <c r="B55" s="60" t="inlineStr">
        <is>
          <t>Compliance &amp; Audit</t>
        </is>
      </c>
      <c r="C55" s="94" t="inlineStr">
        <is>
          <t>N</t>
        </is>
      </c>
      <c r="D55" s="92" t="inlineStr">
        <is>
          <t>-</t>
        </is>
      </c>
      <c r="E55" s="92" t="inlineStr">
        <is>
          <t>-</t>
        </is>
      </c>
      <c r="F55" s="92" t="inlineStr">
        <is>
          <t>-</t>
        </is>
      </c>
      <c r="G55" s="92" t="inlineStr">
        <is>
          <t>-</t>
        </is>
      </c>
      <c r="H55" s="92" t="inlineStr">
        <is>
          <t>-</t>
        </is>
      </c>
      <c r="I55" s="92" t="inlineStr">
        <is>
          <t>-</t>
        </is>
      </c>
      <c r="J55" s="9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50" min="1" max="1"/>
    <col width="16" customWidth="1" style="50" min="2" max="8"/>
  </cols>
  <sheetData>
    <row r="1" ht="19.7" customHeight="1" s="51">
      <c r="A1" s="52" t="inlineStr">
        <is>
          <t>Platform-side operator roles (SSA-02) — specification for epic E22</t>
        </is>
      </c>
    </row>
    <row r="2" ht="15" customHeight="1" s="51">
      <c r="A2" s="65" t="inlineStr">
        <is>
          <t>Seven roles. No single super-admin does everything. A role without create rights has no create button anywhere — the element is absent, not disabled.</t>
        </is>
      </c>
    </row>
    <row r="4" ht="23.85" customHeight="1" s="51">
      <c r="A4" s="59" t="inlineStr">
        <is>
          <t>Surface</t>
        </is>
      </c>
      <c r="B4" s="59" t="inlineStr">
        <is>
          <t>Super admin</t>
        </is>
      </c>
      <c r="C4" s="59" t="inlineStr">
        <is>
          <t>Implementation</t>
        </is>
      </c>
      <c r="D4" s="59" t="inlineStr">
        <is>
          <t>Support engineer</t>
        </is>
      </c>
      <c r="E4" s="59" t="inlineStr">
        <is>
          <t>Billing</t>
        </is>
      </c>
      <c r="F4" s="59" t="inlineStr">
        <is>
          <t>SRE</t>
        </is>
      </c>
      <c r="G4" s="59" t="inlineStr">
        <is>
          <t>Commercial (read-only)</t>
        </is>
      </c>
      <c r="H4" s="59" t="inlineStr">
        <is>
          <t>Compliance / DPO</t>
        </is>
      </c>
    </row>
    <row r="5" ht="15" customHeight="1" s="51">
      <c r="A5" s="60" t="inlineStr">
        <is>
          <t>Command Centre</t>
        </is>
      </c>
      <c r="B5" s="91" t="inlineStr">
        <is>
          <t>Y</t>
        </is>
      </c>
      <c r="C5" s="91" t="inlineStr">
        <is>
          <t>Y</t>
        </is>
      </c>
      <c r="D5" s="91" t="inlineStr">
        <is>
          <t>Y</t>
        </is>
      </c>
      <c r="E5" s="91" t="inlineStr">
        <is>
          <t>Y</t>
        </is>
      </c>
      <c r="F5" s="91" t="inlineStr">
        <is>
          <t>Y</t>
        </is>
      </c>
      <c r="G5" s="91" t="inlineStr">
        <is>
          <t>Y</t>
        </is>
      </c>
      <c r="H5" s="91" t="inlineStr">
        <is>
          <t>Y</t>
        </is>
      </c>
    </row>
    <row r="6" ht="15" customHeight="1" s="51">
      <c r="A6" s="96" t="inlineStr">
        <is>
          <t>Clinics / fleet</t>
        </is>
      </c>
      <c r="B6" s="91" t="inlineStr">
        <is>
          <t>Y</t>
        </is>
      </c>
      <c r="C6" s="91" t="inlineStr">
        <is>
          <t>Y</t>
        </is>
      </c>
      <c r="D6" s="91" t="inlineStr">
        <is>
          <t>Y</t>
        </is>
      </c>
      <c r="E6" s="91" t="inlineStr">
        <is>
          <t>Y</t>
        </is>
      </c>
      <c r="F6" s="92" t="inlineStr">
        <is>
          <t>—</t>
        </is>
      </c>
      <c r="G6" s="91" t="inlineStr">
        <is>
          <t>Y</t>
        </is>
      </c>
      <c r="H6" s="91" t="inlineStr">
        <is>
          <t>Y</t>
        </is>
      </c>
    </row>
    <row r="7" ht="15" customHeight="1" s="51">
      <c r="A7" s="60" t="inlineStr">
        <is>
          <t>Tenant detail</t>
        </is>
      </c>
      <c r="B7" s="91" t="inlineStr">
        <is>
          <t>Y</t>
        </is>
      </c>
      <c r="C7" s="91" t="inlineStr">
        <is>
          <t>Y</t>
        </is>
      </c>
      <c r="D7" s="91" t="inlineStr">
        <is>
          <t>Y</t>
        </is>
      </c>
      <c r="E7" s="92" t="inlineStr">
        <is>
          <t>—</t>
        </is>
      </c>
      <c r="F7" s="92" t="inlineStr">
        <is>
          <t>—</t>
        </is>
      </c>
      <c r="G7" s="92" t="inlineStr">
        <is>
          <t>—</t>
        </is>
      </c>
      <c r="H7" s="91" t="inlineStr">
        <is>
          <t>Y</t>
        </is>
      </c>
    </row>
    <row r="8" ht="15" customHeight="1" s="51">
      <c r="A8" s="96" t="inlineStr">
        <is>
          <t>Onboarding / provisioning</t>
        </is>
      </c>
      <c r="B8" s="91" t="inlineStr">
        <is>
          <t>Y</t>
        </is>
      </c>
      <c r="C8" s="91" t="inlineStr">
        <is>
          <t>Y</t>
        </is>
      </c>
      <c r="D8" s="92" t="inlineStr">
        <is>
          <t>—</t>
        </is>
      </c>
      <c r="E8" s="92" t="inlineStr">
        <is>
          <t>—</t>
        </is>
      </c>
      <c r="F8" s="92" t="inlineStr">
        <is>
          <t>—</t>
        </is>
      </c>
      <c r="G8" s="92" t="inlineStr">
        <is>
          <t>—</t>
        </is>
      </c>
      <c r="H8" s="92" t="inlineStr">
        <is>
          <t>—</t>
        </is>
      </c>
    </row>
    <row r="9" ht="15" customHeight="1" s="51">
      <c r="A9" s="60" t="inlineStr">
        <is>
          <t>Provisioning jobs</t>
        </is>
      </c>
      <c r="B9" s="91" t="inlineStr">
        <is>
          <t>Y</t>
        </is>
      </c>
      <c r="C9" s="91" t="inlineStr">
        <is>
          <t>Y</t>
        </is>
      </c>
      <c r="D9" s="92" t="inlineStr">
        <is>
          <t>—</t>
        </is>
      </c>
      <c r="E9" s="92" t="inlineStr">
        <is>
          <t>—</t>
        </is>
      </c>
      <c r="F9" s="91" t="inlineStr">
        <is>
          <t>Y</t>
        </is>
      </c>
      <c r="G9" s="92" t="inlineStr">
        <is>
          <t>—</t>
        </is>
      </c>
      <c r="H9" s="92" t="inlineStr">
        <is>
          <t>—</t>
        </is>
      </c>
    </row>
    <row r="10" ht="15" customHeight="1" s="51">
      <c r="A10" s="96" t="inlineStr">
        <is>
          <t>Billing &amp; revenue</t>
        </is>
      </c>
      <c r="B10" s="91" t="inlineStr">
        <is>
          <t>Y</t>
        </is>
      </c>
      <c r="C10" s="92" t="inlineStr">
        <is>
          <t>—</t>
        </is>
      </c>
      <c r="D10" s="92" t="inlineStr">
        <is>
          <t>—</t>
        </is>
      </c>
      <c r="E10" s="91" t="inlineStr">
        <is>
          <t>Y</t>
        </is>
      </c>
      <c r="F10" s="92" t="inlineStr">
        <is>
          <t>—</t>
        </is>
      </c>
      <c r="G10" s="91" t="inlineStr">
        <is>
          <t>Y</t>
        </is>
      </c>
      <c r="H10" s="92" t="inlineStr">
        <is>
          <t>—</t>
        </is>
      </c>
    </row>
    <row r="11" ht="15" customHeight="1" s="51">
      <c r="A11" s="60" t="inlineStr">
        <is>
          <t>Support tickets</t>
        </is>
      </c>
      <c r="B11" s="91" t="inlineStr">
        <is>
          <t>Y</t>
        </is>
      </c>
      <c r="C11" s="91" t="inlineStr">
        <is>
          <t>Y</t>
        </is>
      </c>
      <c r="D11" s="91" t="inlineStr">
        <is>
          <t>Y</t>
        </is>
      </c>
      <c r="E11" s="92" t="inlineStr">
        <is>
          <t>—</t>
        </is>
      </c>
      <c r="F11" s="92" t="inlineStr">
        <is>
          <t>—</t>
        </is>
      </c>
      <c r="G11" s="92" t="inlineStr">
        <is>
          <t>—</t>
        </is>
      </c>
      <c r="H11" s="92" t="inlineStr">
        <is>
          <t>—</t>
        </is>
      </c>
    </row>
    <row r="12" ht="15" customHeight="1" s="51">
      <c r="A12" s="96" t="inlineStr">
        <is>
          <t>Pricing &amp; packaging</t>
        </is>
      </c>
      <c r="B12" s="91" t="inlineStr">
        <is>
          <t>Y</t>
        </is>
      </c>
      <c r="C12" s="92" t="inlineStr">
        <is>
          <t>—</t>
        </is>
      </c>
      <c r="D12" s="92" t="inlineStr">
        <is>
          <t>—</t>
        </is>
      </c>
      <c r="E12" s="91" t="inlineStr">
        <is>
          <t>Y</t>
        </is>
      </c>
      <c r="F12" s="92" t="inlineStr">
        <is>
          <t>—</t>
        </is>
      </c>
      <c r="G12" s="92" t="inlineStr">
        <is>
          <t>—</t>
        </is>
      </c>
      <c r="H12" s="92" t="inlineStr">
        <is>
          <t>—</t>
        </is>
      </c>
    </row>
    <row r="13" ht="15" customHeight="1" s="51">
      <c r="A13" s="60" t="inlineStr">
        <is>
          <t>Territories</t>
        </is>
      </c>
      <c r="B13" s="91" t="inlineStr">
        <is>
          <t>Y</t>
        </is>
      </c>
      <c r="C13" s="92" t="inlineStr">
        <is>
          <t>—</t>
        </is>
      </c>
      <c r="D13" s="92" t="inlineStr">
        <is>
          <t>—</t>
        </is>
      </c>
      <c r="E13" s="92" t="inlineStr">
        <is>
          <t>—</t>
        </is>
      </c>
      <c r="F13" s="91" t="inlineStr">
        <is>
          <t>Y</t>
        </is>
      </c>
      <c r="G13" s="91" t="inlineStr">
        <is>
          <t>Y</t>
        </is>
      </c>
      <c r="H13" s="91" t="inlineStr">
        <is>
          <t>Y</t>
        </is>
      </c>
    </row>
    <row r="14" ht="15" customHeight="1" s="51">
      <c r="A14" s="96" t="inlineStr">
        <is>
          <t>Messaging operations</t>
        </is>
      </c>
      <c r="B14" s="91" t="inlineStr">
        <is>
          <t>Y</t>
        </is>
      </c>
      <c r="C14" s="91" t="inlineStr">
        <is>
          <t>Y</t>
        </is>
      </c>
      <c r="D14" s="92" t="inlineStr">
        <is>
          <t>—</t>
        </is>
      </c>
      <c r="E14" s="92" t="inlineStr">
        <is>
          <t>—</t>
        </is>
      </c>
      <c r="F14" s="91" t="inlineStr">
        <is>
          <t>Y</t>
        </is>
      </c>
      <c r="G14" s="92" t="inlineStr">
        <is>
          <t>—</t>
        </is>
      </c>
      <c r="H14" s="92" t="inlineStr">
        <is>
          <t>—</t>
        </is>
      </c>
    </row>
    <row r="15" ht="15" customHeight="1" s="51">
      <c r="A15" s="60" t="inlineStr">
        <is>
          <t>Platform health</t>
        </is>
      </c>
      <c r="B15" s="91" t="inlineStr">
        <is>
          <t>Y</t>
        </is>
      </c>
      <c r="C15" s="92" t="inlineStr">
        <is>
          <t>—</t>
        </is>
      </c>
      <c r="D15" s="91" t="inlineStr">
        <is>
          <t>Y</t>
        </is>
      </c>
      <c r="E15" s="92" t="inlineStr">
        <is>
          <t>—</t>
        </is>
      </c>
      <c r="F15" s="91" t="inlineStr">
        <is>
          <t>Y</t>
        </is>
      </c>
      <c r="G15" s="92" t="inlineStr">
        <is>
          <t>—</t>
        </is>
      </c>
      <c r="H15" s="92" t="inlineStr">
        <is>
          <t>—</t>
        </is>
      </c>
    </row>
    <row r="16" ht="15" customHeight="1" s="51">
      <c r="A16" s="96" t="inlineStr">
        <is>
          <t>Aggregator &amp; demand</t>
        </is>
      </c>
      <c r="B16" s="91" t="inlineStr">
        <is>
          <t>Y</t>
        </is>
      </c>
      <c r="C16" s="92" t="inlineStr">
        <is>
          <t>—</t>
        </is>
      </c>
      <c r="D16" s="92" t="inlineStr">
        <is>
          <t>—</t>
        </is>
      </c>
      <c r="E16" s="92" t="inlineStr">
        <is>
          <t>—</t>
        </is>
      </c>
      <c r="F16" s="92" t="inlineStr">
        <is>
          <t>—</t>
        </is>
      </c>
      <c r="G16" s="91" t="inlineStr">
        <is>
          <t>Y</t>
        </is>
      </c>
      <c r="H16" s="92" t="inlineStr">
        <is>
          <t>—</t>
        </is>
      </c>
    </row>
    <row r="17" ht="15" customHeight="1" s="51">
      <c r="A17" s="60" t="inlineStr">
        <is>
          <t>Support access</t>
        </is>
      </c>
      <c r="B17" s="91" t="inlineStr">
        <is>
          <t>Y</t>
        </is>
      </c>
      <c r="C17" s="91" t="inlineStr">
        <is>
          <t>Y</t>
        </is>
      </c>
      <c r="D17" s="91" t="inlineStr">
        <is>
          <t>Y</t>
        </is>
      </c>
      <c r="E17" s="92" t="inlineStr">
        <is>
          <t>—</t>
        </is>
      </c>
      <c r="F17" s="92" t="inlineStr">
        <is>
          <t>—</t>
        </is>
      </c>
      <c r="G17" s="92" t="inlineStr">
        <is>
          <t>—</t>
        </is>
      </c>
      <c r="H17" s="92" t="inlineStr">
        <is>
          <t>—</t>
        </is>
      </c>
    </row>
    <row r="18" ht="15" customHeight="1" s="51">
      <c r="A18" s="96" t="inlineStr">
        <is>
          <t>Audit &amp; compliance</t>
        </is>
      </c>
      <c r="B18" s="91" t="inlineStr">
        <is>
          <t>Y</t>
        </is>
      </c>
      <c r="C18" s="92" t="inlineStr">
        <is>
          <t>—</t>
        </is>
      </c>
      <c r="D18" s="92" t="inlineStr">
        <is>
          <t>—</t>
        </is>
      </c>
      <c r="E18" s="92" t="inlineStr">
        <is>
          <t>—</t>
        </is>
      </c>
      <c r="F18" s="91" t="inlineStr">
        <is>
          <t>Y</t>
        </is>
      </c>
      <c r="G18" s="92" t="inlineStr">
        <is>
          <t>—</t>
        </is>
      </c>
      <c r="H18" s="91" t="inlineStr">
        <is>
          <t>Y</t>
        </is>
      </c>
    </row>
    <row r="20" ht="15" customHeight="1" s="51">
      <c r="A20" s="56" t="inlineStr">
        <is>
          <t>Hard rules from the wireframe</t>
        </is>
      </c>
    </row>
    <row r="21" ht="15" customHeight="1" s="51">
      <c r="A21" s="55" t="inlineStr">
        <is>
          <t>• Only Super admin and Implementation may create a tenant. For every other role no create button exists anywhere (SSA-02).</t>
        </is>
      </c>
    </row>
    <row r="22" ht="15" customHeight="1" s="51">
      <c r="A22" s="55" t="inlineStr">
        <is>
          <t>• A support engineer never sees clinical fields — the same restricted overlay the clinic itself sees (SSA-04).</t>
        </is>
      </c>
    </row>
    <row r="23" ht="15" customHeight="1" s="51">
      <c r="A23" s="55" t="inlineStr">
        <is>
          <t>• Support access into a tenant requires consent, is time-boxed, shows the tenant a banner, and is fully audited.</t>
        </is>
      </c>
    </row>
    <row r="24" ht="15" customHeight="1" s="51">
      <c r="A24" s="55" t="inlineStr">
        <is>
          <t>• Commercial is read-only by construction, not by convention.</t>
        </is>
      </c>
    </row>
    <row r="25" ht="15" customHeight="1" s="51">
      <c r="A25" s="55" t="inlineStr">
        <is>
          <t>• Compliance / DPO reaches audit and residency surfaces but not billing or provisioning.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7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50" min="1" max="1"/>
    <col width="76" customWidth="1" style="50" min="2" max="2"/>
    <col width="40" customWidth="1" style="50" min="3" max="3"/>
    <col width="11" customWidth="1" style="50" min="4" max="4"/>
    <col width="10" customWidth="1" style="50" min="5" max="5"/>
    <col width="26" customWidth="1" style="50" min="6" max="6"/>
    <col width="12" customWidth="1" style="50" min="7" max="7"/>
    <col width="24" customWidth="1" style="50" min="8" max="8"/>
  </cols>
  <sheetData>
    <row r="1" ht="19.7" customHeight="1" s="51">
      <c r="A1" s="52" t="inlineStr">
        <is>
          <t>Cybersecurity, privacy and compliance control checklist</t>
        </is>
      </c>
    </row>
    <row r="2" ht="15" customHeight="1" s="51">
      <c r="A2" s="65" t="inlineStr">
        <is>
          <t>Each control names the backlog task that delivers it. Use this as the pre-go-live gate.</t>
        </is>
      </c>
    </row>
    <row r="4" ht="15" customHeight="1" s="51">
      <c r="A4" s="59" t="inlineStr">
        <is>
          <t>Domain</t>
        </is>
      </c>
      <c r="B4" s="59" t="inlineStr">
        <is>
          <t>Control</t>
        </is>
      </c>
      <c r="C4" s="59" t="inlineStr">
        <is>
          <t>Delivered by</t>
        </is>
      </c>
      <c r="D4" s="59" t="inlineStr">
        <is>
          <t>Task ID</t>
        </is>
      </c>
      <c r="E4" s="59" t="inlineStr">
        <is>
          <t>Priority</t>
        </is>
      </c>
      <c r="F4" s="59" t="inlineStr">
        <is>
          <t>Gate</t>
        </is>
      </c>
      <c r="G4" s="59" t="inlineStr">
        <is>
          <t>Verified?</t>
        </is>
      </c>
      <c r="H4" s="59" t="inlineStr">
        <is>
          <t>Evidence / Link</t>
        </is>
      </c>
    </row>
    <row r="5" ht="23.85" customHeight="1" s="51">
      <c r="A5" s="72" t="inlineStr">
        <is>
          <t>Identity</t>
        </is>
      </c>
      <c r="B5" s="62" t="inlineStr">
        <is>
          <t>Staff sign-in limited to WhatsApp OTP, short PIN or authenticator app — no SSO, no hardware keys (NFR-06)</t>
        </is>
      </c>
      <c r="C5" s="62" t="inlineStr">
        <is>
          <t>Staff authentication — WhatsApp OTP</t>
        </is>
      </c>
      <c r="D5" s="72" t="inlineStr">
        <is>
          <t>NB-040</t>
        </is>
      </c>
      <c r="E5" s="72" t="inlineStr">
        <is>
          <t>Must</t>
        </is>
      </c>
      <c r="F5" s="72" t="inlineStr">
        <is>
          <t>Go-live blocker</t>
        </is>
      </c>
      <c r="G5" s="72" t="inlineStr">
        <is>
          <t>No</t>
        </is>
      </c>
      <c r="H5" s="72" t="n"/>
    </row>
    <row r="6" ht="15" customHeight="1" s="51">
      <c r="A6" s="73" t="inlineStr">
        <is>
          <t>Identity</t>
        </is>
      </c>
      <c r="B6" s="68" t="inlineStr">
        <is>
          <t>Verified email and mobile both required before any patient data is reachable (CAD-12)</t>
        </is>
      </c>
      <c r="C6" s="68" t="inlineStr">
        <is>
          <t>Dual-channel staff identity</t>
        </is>
      </c>
      <c r="D6" s="73" t="inlineStr">
        <is>
          <t>NB-041</t>
        </is>
      </c>
      <c r="E6" s="73" t="inlineStr">
        <is>
          <t>Must</t>
        </is>
      </c>
      <c r="F6" s="73" t="inlineStr">
        <is>
          <t>Go-live blocker</t>
        </is>
      </c>
      <c r="G6" s="73" t="inlineStr">
        <is>
          <t>No</t>
        </is>
      </c>
      <c r="H6" s="73" t="n"/>
    </row>
    <row r="7" ht="15" customHeight="1" s="51">
      <c r="A7" s="72" t="inlineStr">
        <is>
          <t>Identity</t>
        </is>
      </c>
      <c r="B7" s="62" t="inlineStr">
        <is>
          <t>Authenticator MFA enforced for Owner, Platform operators and refund/discount holders</t>
        </is>
      </c>
      <c r="C7" s="62" t="inlineStr">
        <is>
          <t>Authenticator-app MFA enforcement</t>
        </is>
      </c>
      <c r="D7" s="72" t="inlineStr">
        <is>
          <t>NB-042</t>
        </is>
      </c>
      <c r="E7" s="72" t="inlineStr">
        <is>
          <t>Must</t>
        </is>
      </c>
      <c r="F7" s="72" t="inlineStr">
        <is>
          <t>Go-live blocker</t>
        </is>
      </c>
      <c r="G7" s="72" t="inlineStr">
        <is>
          <t>No</t>
        </is>
      </c>
      <c r="H7" s="72" t="n"/>
    </row>
    <row r="8" ht="15" customHeight="1" s="51">
      <c r="A8" s="73" t="inlineStr">
        <is>
          <t>Identity</t>
        </is>
      </c>
      <c r="B8" s="68" t="inlineStr">
        <is>
          <t>Short-lived tokens, rotating refresh, reuse detection, remote session revoke</t>
        </is>
      </c>
      <c r="C8" s="68" t="inlineStr">
        <is>
          <t>Session management &amp; device trust</t>
        </is>
      </c>
      <c r="D8" s="73" t="inlineStr">
        <is>
          <t>NB-043</t>
        </is>
      </c>
      <c r="E8" s="73" t="inlineStr">
        <is>
          <t>Must</t>
        </is>
      </c>
      <c r="F8" s="73" t="inlineStr">
        <is>
          <t>Go-live blocker</t>
        </is>
      </c>
      <c r="G8" s="73" t="inlineStr">
        <is>
          <t>No</t>
        </is>
      </c>
      <c r="H8" s="73" t="n"/>
    </row>
    <row r="9" ht="15" customHeight="1" s="51">
      <c r="A9" s="72" t="inlineStr">
        <is>
          <t>Identity</t>
        </is>
      </c>
      <c r="B9" s="62" t="inlineStr">
        <is>
          <t>Shared-workstation auto-lock without losing draft clinical notes</t>
        </is>
      </c>
      <c r="C9" s="62" t="inlineStr">
        <is>
          <t>Idle timeout &amp; clinical screen lock</t>
        </is>
      </c>
      <c r="D9" s="72" t="inlineStr">
        <is>
          <t>NB-044</t>
        </is>
      </c>
      <c r="E9" s="72" t="inlineStr">
        <is>
          <t>Must</t>
        </is>
      </c>
      <c r="F9" s="72" t="inlineStr">
        <is>
          <t>Go-live blocker</t>
        </is>
      </c>
      <c r="G9" s="72" t="inlineStr">
        <is>
          <t>No</t>
        </is>
      </c>
      <c r="H9" s="72" t="n"/>
    </row>
    <row r="10" ht="15" customHeight="1" s="51">
      <c r="A10" s="73" t="inlineStr">
        <is>
          <t>Identity</t>
        </is>
      </c>
      <c r="B10" s="68" t="inlineStr">
        <is>
          <t>Break-glass access is time-boxed, reason-captured and loudly alerted</t>
        </is>
      </c>
      <c r="C10" s="68" t="inlineStr">
        <is>
          <t>Break-glass emergency access</t>
        </is>
      </c>
      <c r="D10" s="73" t="inlineStr">
        <is>
          <t>NB-048</t>
        </is>
      </c>
      <c r="E10" s="73" t="inlineStr">
        <is>
          <t>Should</t>
        </is>
      </c>
      <c r="F10" s="73" t="inlineStr">
        <is>
          <t>Post-launch acceptable</t>
        </is>
      </c>
      <c r="G10" s="73" t="inlineStr">
        <is>
          <t>No</t>
        </is>
      </c>
      <c r="H10" s="73" t="n"/>
    </row>
    <row r="11" ht="15" customHeight="1" s="51">
      <c r="A11" s="72" t="inlineStr">
        <is>
          <t>Access control</t>
        </is>
      </c>
      <c r="B11" s="62" t="inlineStr">
        <is>
          <t>Deny-by-default server-side authorisation on every endpoint</t>
        </is>
      </c>
      <c r="C11" s="62" t="inlineStr">
        <is>
          <t>Server-side policy enforcement point</t>
        </is>
      </c>
      <c r="D11" s="72" t="inlineStr">
        <is>
          <t>NB-050</t>
        </is>
      </c>
      <c r="E11" s="72" t="inlineStr">
        <is>
          <t>Must</t>
        </is>
      </c>
      <c r="F11" s="72" t="inlineStr">
        <is>
          <t>Go-live blocker</t>
        </is>
      </c>
      <c r="G11" s="72" t="inlineStr">
        <is>
          <t>No</t>
        </is>
      </c>
      <c r="H11" s="72" t="n"/>
    </row>
    <row r="12" ht="15" customHeight="1" s="51">
      <c r="A12" s="73" t="inlineStr">
        <is>
          <t>Access control</t>
        </is>
      </c>
      <c r="B12" s="68" t="inlineStr">
        <is>
          <t>Row-level patient scoping enforced in the query, not by post-filtering</t>
        </is>
      </c>
      <c r="C12" s="68" t="inlineStr">
        <is>
          <t>Row-level scoping</t>
        </is>
      </c>
      <c r="D12" s="73" t="inlineStr">
        <is>
          <t>NB-051</t>
        </is>
      </c>
      <c r="E12" s="73" t="inlineStr">
        <is>
          <t>Must</t>
        </is>
      </c>
      <c r="F12" s="73" t="inlineStr">
        <is>
          <t>Go-live blocker</t>
        </is>
      </c>
      <c r="G12" s="73" t="inlineStr">
        <is>
          <t>No</t>
        </is>
      </c>
      <c r="H12" s="73" t="n"/>
    </row>
    <row r="13" ht="15" customHeight="1" s="51">
      <c r="A13" s="72" t="inlineStr">
        <is>
          <t>Access control</t>
        </is>
      </c>
      <c r="B13" s="62" t="inlineStr">
        <is>
          <t>Field-level restrictions applied in the API response, not merely hidden in the UI</t>
        </is>
      </c>
      <c r="C13" s="62" t="inlineStr">
        <is>
          <t>Field-level restrictions</t>
        </is>
      </c>
      <c r="D13" s="72" t="inlineStr">
        <is>
          <t>NB-052</t>
        </is>
      </c>
      <c r="E13" s="72" t="inlineStr">
        <is>
          <t>Must</t>
        </is>
      </c>
      <c r="F13" s="72" t="inlineStr">
        <is>
          <t>Go-live blocker</t>
        </is>
      </c>
      <c r="G13" s="72" t="inlineStr">
        <is>
          <t>No</t>
        </is>
      </c>
      <c r="H13" s="72" t="n"/>
    </row>
    <row r="14" ht="15" customHeight="1" s="51">
      <c r="A14" s="73" t="inlineStr">
        <is>
          <t>Access control</t>
        </is>
      </c>
      <c r="B14" s="68" t="inlineStr">
        <is>
          <t>Consent evaluated at query level — the UI is not the enforcement point (NFR-08)</t>
        </is>
      </c>
      <c r="C14" s="68" t="inlineStr">
        <is>
          <t>Consent checked at query level</t>
        </is>
      </c>
      <c r="D14" s="73" t="inlineStr">
        <is>
          <t>NB-053</t>
        </is>
      </c>
      <c r="E14" s="73" t="inlineStr">
        <is>
          <t>Must</t>
        </is>
      </c>
      <c r="F14" s="73" t="inlineStr">
        <is>
          <t>Go-live blocker</t>
        </is>
      </c>
      <c r="G14" s="73" t="inlineStr">
        <is>
          <t>No</t>
        </is>
      </c>
      <c r="H14" s="73" t="n"/>
    </row>
    <row r="15" ht="15" customHeight="1" s="51">
      <c r="A15" s="72" t="inlineStr">
        <is>
          <t>Access control</t>
        </is>
      </c>
      <c r="B15" s="62" t="inlineStr">
        <is>
          <t>Maker-checker on refunds, large discounts and clinical amendments</t>
        </is>
      </c>
      <c r="C15" s="62" t="inlineStr">
        <is>
          <t>Approval workflows &amp; maker-checker</t>
        </is>
      </c>
      <c r="D15" s="72" t="inlineStr">
        <is>
          <t>NB-056</t>
        </is>
      </c>
      <c r="E15" s="72" t="inlineStr">
        <is>
          <t>Must</t>
        </is>
      </c>
      <c r="F15" s="72" t="inlineStr">
        <is>
          <t>Go-live blocker</t>
        </is>
      </c>
      <c r="G15" s="72" t="inlineStr">
        <is>
          <t>No</t>
        </is>
      </c>
      <c r="H15" s="72" t="n"/>
    </row>
    <row r="16" ht="15" customHeight="1" s="51">
      <c r="A16" s="73" t="inlineStr">
        <is>
          <t>Access control</t>
        </is>
      </c>
      <c r="B16" s="68" t="inlineStr">
        <is>
          <t>Restricted elements are absent from the UI, never disabled</t>
        </is>
      </c>
      <c r="C16" s="68" t="inlineStr">
        <is>
          <t>UI permission rendering contract</t>
        </is>
      </c>
      <c r="D16" s="73" t="inlineStr">
        <is>
          <t>NB-054</t>
        </is>
      </c>
      <c r="E16" s="73" t="inlineStr">
        <is>
          <t>Must</t>
        </is>
      </c>
      <c r="F16" s="73" t="inlineStr">
        <is>
          <t>Go-live blocker</t>
        </is>
      </c>
      <c r="G16" s="73" t="inlineStr">
        <is>
          <t>No</t>
        </is>
      </c>
      <c r="H16" s="73" t="n"/>
    </row>
    <row r="17" ht="15" customHeight="1" s="51">
      <c r="A17" s="72" t="inlineStr">
        <is>
          <t>Access control</t>
        </is>
      </c>
      <c r="B17" s="62" t="inlineStr">
        <is>
          <t>Seven segregated SaaS operator roles; no single super-admin does everything (SSA-02)</t>
        </is>
      </c>
      <c r="C17" s="62" t="inlineStr">
        <is>
          <t>Seven SaaS operator roles</t>
        </is>
      </c>
      <c r="D17" s="72" t="inlineStr">
        <is>
          <t>NB-257</t>
        </is>
      </c>
      <c r="E17" s="72" t="inlineStr">
        <is>
          <t>Must</t>
        </is>
      </c>
      <c r="F17" s="72" t="inlineStr">
        <is>
          <t>Go-live blocker</t>
        </is>
      </c>
      <c r="G17" s="72" t="inlineStr">
        <is>
          <t>No</t>
        </is>
      </c>
      <c r="H17" s="72" t="n"/>
    </row>
    <row r="18" ht="15" customHeight="1" s="51">
      <c r="A18" s="73" t="inlineStr">
        <is>
          <t>Access control</t>
        </is>
      </c>
      <c r="B18" s="68" t="inlineStr">
        <is>
          <t>Support engineers are blind to clinical fields (SSA-04)</t>
        </is>
      </c>
      <c r="C18" s="68" t="inlineStr">
        <is>
          <t>Support access with consent gate</t>
        </is>
      </c>
      <c r="D18" s="73" t="inlineStr">
        <is>
          <t>NB-266</t>
        </is>
      </c>
      <c r="E18" s="73" t="inlineStr">
        <is>
          <t>Must</t>
        </is>
      </c>
      <c r="F18" s="73" t="inlineStr">
        <is>
          <t>Go-live blocker</t>
        </is>
      </c>
      <c r="G18" s="73" t="inlineStr">
        <is>
          <t>No</t>
        </is>
      </c>
      <c r="H18" s="73" t="n"/>
    </row>
    <row r="19" ht="15" customHeight="1" s="51">
      <c r="A19" s="72" t="inlineStr">
        <is>
          <t>Tenancy</t>
        </is>
      </c>
      <c r="B19" s="62" t="inlineStr">
        <is>
          <t>Tenant isolation verified by test; no cross-tenant read path</t>
        </is>
      </c>
      <c r="C19" s="62" t="inlineStr">
        <is>
          <t>Multi-tenancy isolation model</t>
        </is>
      </c>
      <c r="D19" s="72" t="inlineStr">
        <is>
          <t>NB-002</t>
        </is>
      </c>
      <c r="E19" s="72" t="inlineStr">
        <is>
          <t>Must</t>
        </is>
      </c>
      <c r="F19" s="72" t="inlineStr">
        <is>
          <t>Go-live blocker</t>
        </is>
      </c>
      <c r="G19" s="72" t="inlineStr">
        <is>
          <t>No</t>
        </is>
      </c>
      <c r="H19" s="72" t="n"/>
    </row>
    <row r="20" ht="15" customHeight="1" s="51">
      <c r="A20" s="73" t="inlineStr">
        <is>
          <t>Tenancy</t>
        </is>
      </c>
      <c r="B20" s="68" t="inlineStr">
        <is>
          <t>Region locked irreversibly at provisioning; no cross-region replication (SYS-14 / NFR-04)</t>
        </is>
      </c>
      <c r="C20" s="68" t="inlineStr">
        <is>
          <t>Multi-region deployment &amp; residency</t>
        </is>
      </c>
      <c r="D20" s="73" t="inlineStr">
        <is>
          <t>NB-271</t>
        </is>
      </c>
      <c r="E20" s="73" t="inlineStr">
        <is>
          <t>Must</t>
        </is>
      </c>
      <c r="F20" s="73" t="inlineStr">
        <is>
          <t>Go-live blocker</t>
        </is>
      </c>
      <c r="G20" s="73" t="inlineStr">
        <is>
          <t>No</t>
        </is>
      </c>
      <c r="H20" s="73" t="n"/>
    </row>
    <row r="21" ht="15" customHeight="1" s="51">
      <c r="A21" s="72" t="inlineStr">
        <is>
          <t>Tenancy</t>
        </is>
      </c>
      <c r="B21" s="62" t="inlineStr">
        <is>
          <t>Installation secrets separated from tenant integration secrets (SYS-14)</t>
        </is>
      </c>
      <c r="C21" s="62" t="inlineStr">
        <is>
          <t>Config &amp; secrets management with role</t>
        </is>
      </c>
      <c r="D21" s="72" t="inlineStr">
        <is>
          <t>NB-009</t>
        </is>
      </c>
      <c r="E21" s="72" t="inlineStr">
        <is>
          <t>Must</t>
        </is>
      </c>
      <c r="F21" s="72" t="inlineStr">
        <is>
          <t>Go-live blocker</t>
        </is>
      </c>
      <c r="G21" s="72" t="inlineStr">
        <is>
          <t>No</t>
        </is>
      </c>
      <c r="H21" s="72" t="n"/>
    </row>
    <row r="22" ht="15" customHeight="1" s="51">
      <c r="A22" s="73" t="inlineStr">
        <is>
          <t>Cryptography</t>
        </is>
      </c>
      <c r="B22" s="68" t="inlineStr">
        <is>
          <t>Region-scoped KMS with per-tenant keys and a documented rotation runbook (NFR-04)</t>
        </is>
      </c>
      <c r="C22" s="68" t="inlineStr">
        <is>
          <t>Region-scoped encryption at rest</t>
        </is>
      </c>
      <c r="D22" s="73" t="inlineStr">
        <is>
          <t>NB-283</t>
        </is>
      </c>
      <c r="E22" s="73" t="inlineStr">
        <is>
          <t>Must</t>
        </is>
      </c>
      <c r="F22" s="73" t="inlineStr">
        <is>
          <t>Go-live blocker</t>
        </is>
      </c>
      <c r="G22" s="73" t="inlineStr">
        <is>
          <t>No</t>
        </is>
      </c>
      <c r="H22" s="73" t="n"/>
    </row>
    <row r="23" ht="15" customHeight="1" s="51">
      <c r="A23" s="72" t="inlineStr">
        <is>
          <t>Cryptography</t>
        </is>
      </c>
      <c r="B23" s="62" t="inlineStr">
        <is>
          <t>TLS 1.3 only, HSTS preload, automated certificate renewal</t>
        </is>
      </c>
      <c r="C23" s="62" t="inlineStr">
        <is>
          <t>Encryption in transit</t>
        </is>
      </c>
      <c r="D23" s="72" t="inlineStr">
        <is>
          <t>NB-284</t>
        </is>
      </c>
      <c r="E23" s="72" t="inlineStr">
        <is>
          <t>Must</t>
        </is>
      </c>
      <c r="F23" s="72" t="inlineStr">
        <is>
          <t>Go-live blocker</t>
        </is>
      </c>
      <c r="G23" s="72" t="inlineStr">
        <is>
          <t>No</t>
        </is>
      </c>
      <c r="H23" s="72" t="n"/>
    </row>
    <row r="24" ht="15" customHeight="1" s="51">
      <c r="A24" s="73" t="inlineStr">
        <is>
          <t>Cryptography</t>
        </is>
      </c>
      <c r="B24" s="68" t="inlineStr">
        <is>
          <t>Column-level encryption for national identifiers</t>
        </is>
      </c>
      <c r="C24" s="68" t="inlineStr">
        <is>
          <t>PHI field-level encryption</t>
        </is>
      </c>
      <c r="D24" s="73" t="inlineStr">
        <is>
          <t>NB-285</t>
        </is>
      </c>
      <c r="E24" s="73" t="inlineStr">
        <is>
          <t>Must</t>
        </is>
      </c>
      <c r="F24" s="73" t="inlineStr">
        <is>
          <t>Go-live blocker</t>
        </is>
      </c>
      <c r="G24" s="73" t="inlineStr">
        <is>
          <t>No</t>
        </is>
      </c>
      <c r="H24" s="73" t="n"/>
    </row>
    <row r="25" ht="15" customHeight="1" s="51">
      <c r="A25" s="72" t="inlineStr">
        <is>
          <t>Application</t>
        </is>
      </c>
      <c r="B25" s="62" t="inlineStr">
        <is>
          <t>Parameterised queries and schema validation on every endpoint</t>
        </is>
      </c>
      <c r="C25" s="62" t="inlineStr">
        <is>
          <t>Input validation &amp; injection defence</t>
        </is>
      </c>
      <c r="D25" s="72" t="inlineStr">
        <is>
          <t>NB-286</t>
        </is>
      </c>
      <c r="E25" s="72" t="inlineStr">
        <is>
          <t>Must</t>
        </is>
      </c>
      <c r="F25" s="72" t="inlineStr">
        <is>
          <t>Go-live blocker</t>
        </is>
      </c>
      <c r="G25" s="72" t="inlineStr">
        <is>
          <t>No</t>
        </is>
      </c>
      <c r="H25" s="72" t="n"/>
    </row>
    <row r="26" ht="23.85" customHeight="1" s="51">
      <c r="A26" s="73" t="inlineStr">
        <is>
          <t>Application</t>
        </is>
      </c>
      <c r="B26" s="68" t="inlineStr">
        <is>
          <t>OWASP Top 10 and API Top 10 pass, including IDOR/BOLA on patient and family-scoped routes</t>
        </is>
      </c>
      <c r="C26" s="68" t="inlineStr">
        <is>
          <t>OWASP Top 10 &amp; API Top 10</t>
        </is>
      </c>
      <c r="D26" s="73" t="inlineStr">
        <is>
          <t>NB-287</t>
        </is>
      </c>
      <c r="E26" s="73" t="inlineStr">
        <is>
          <t>Must</t>
        </is>
      </c>
      <c r="F26" s="73" t="inlineStr">
        <is>
          <t>Go-live blocker</t>
        </is>
      </c>
      <c r="G26" s="73" t="inlineStr">
        <is>
          <t>No</t>
        </is>
      </c>
      <c r="H26" s="73" t="n"/>
    </row>
    <row r="27" ht="15" customHeight="1" s="51">
      <c r="A27" s="72" t="inlineStr">
        <is>
          <t>Application</t>
        </is>
      </c>
      <c r="B27" s="62" t="inlineStr">
        <is>
          <t>Content Security Policy in enforce mode; no inline script</t>
        </is>
      </c>
      <c r="C27" s="62" t="inlineStr">
        <is>
          <t>Security headers &amp; frontend hardening</t>
        </is>
      </c>
      <c r="D27" s="72" t="inlineStr">
        <is>
          <t>NB-291</t>
        </is>
      </c>
      <c r="E27" s="72" t="inlineStr">
        <is>
          <t>Must</t>
        </is>
      </c>
      <c r="F27" s="72" t="inlineStr">
        <is>
          <t>Go-live blocker</t>
        </is>
      </c>
      <c r="G27" s="72" t="inlineStr">
        <is>
          <t>No</t>
        </is>
      </c>
      <c r="H27" s="72" t="n"/>
    </row>
    <row r="28" ht="15" customHeight="1" s="51">
      <c r="A28" s="73" t="inlineStr">
        <is>
          <t>Application</t>
        </is>
      </c>
      <c r="B28" s="68" t="inlineStr">
        <is>
          <t>Uploads type-verified, AV-scanned and served only via signed short-lived URLs</t>
        </is>
      </c>
      <c r="C28" s="68" t="inlineStr">
        <is>
          <t>File upload security pipeline</t>
        </is>
      </c>
      <c r="D28" s="73" t="inlineStr">
        <is>
          <t>NB-292</t>
        </is>
      </c>
      <c r="E28" s="73" t="inlineStr">
        <is>
          <t>Must</t>
        </is>
      </c>
      <c r="F28" s="73" t="inlineStr">
        <is>
          <t>Go-live blocker</t>
        </is>
      </c>
      <c r="G28" s="73" t="inlineStr">
        <is>
          <t>No</t>
        </is>
      </c>
      <c r="H28" s="73" t="n"/>
    </row>
    <row r="29" ht="15" customHeight="1" s="51">
      <c r="A29" s="72" t="inlineStr">
        <is>
          <t>Application</t>
        </is>
      </c>
      <c r="B29" s="62" t="inlineStr">
        <is>
          <t>Rate limiting per IP, tenant, user and phone number, including the public aggregator number</t>
        </is>
      </c>
      <c r="C29" s="62" t="inlineStr">
        <is>
          <t>Rate limiting, bot &amp; abuse</t>
        </is>
      </c>
      <c r="D29" s="72" t="inlineStr">
        <is>
          <t>NB-288</t>
        </is>
      </c>
      <c r="E29" s="72" t="inlineStr">
        <is>
          <t>Must</t>
        </is>
      </c>
      <c r="F29" s="72" t="inlineStr">
        <is>
          <t>Go-live blocker</t>
        </is>
      </c>
      <c r="G29" s="72" t="inlineStr">
        <is>
          <t>No</t>
        </is>
      </c>
      <c r="H29" s="72" t="n"/>
    </row>
    <row r="30" ht="15" customHeight="1" s="51">
      <c r="A30" s="73" t="inlineStr">
        <is>
          <t>Messaging</t>
        </is>
      </c>
      <c r="B30" s="68" t="inlineStr">
        <is>
          <t>A file is never sent into open chat — always an expiring, access-logged link (SYS-18)</t>
        </is>
      </c>
      <c r="C30" s="68" t="inlineStr">
        <is>
          <t>Secure file delivery via expiring link</t>
        </is>
      </c>
      <c r="D30" s="73" t="inlineStr">
        <is>
          <t>NB-076</t>
        </is>
      </c>
      <c r="E30" s="73" t="inlineStr">
        <is>
          <t>Must</t>
        </is>
      </c>
      <c r="F30" s="73" t="inlineStr">
        <is>
          <t>Go-live blocker</t>
        </is>
      </c>
      <c r="G30" s="73" t="inlineStr">
        <is>
          <t>No</t>
        </is>
      </c>
      <c r="H30" s="73" t="n"/>
    </row>
    <row r="31" ht="15" customHeight="1" s="51">
      <c r="A31" s="72" t="inlineStr">
        <is>
          <t>Messaging</t>
        </is>
      </c>
      <c r="B31" s="62" t="inlineStr">
        <is>
          <t>Number change or re-registration requires re-verification before any patient data is released</t>
        </is>
      </c>
      <c r="C31" s="62" t="inlineStr">
        <is>
          <t>Messaging channel abuse</t>
        </is>
      </c>
      <c r="D31" s="72" t="inlineStr">
        <is>
          <t>NB-289</t>
        </is>
      </c>
      <c r="E31" s="72" t="inlineStr">
        <is>
          <t>Must</t>
        </is>
      </c>
      <c r="F31" s="72" t="inlineStr">
        <is>
          <t>Go-live blocker</t>
        </is>
      </c>
      <c r="G31" s="72" t="inlineStr">
        <is>
          <t>No</t>
        </is>
      </c>
      <c r="H31" s="72" t="n"/>
    </row>
    <row r="32" ht="15" customHeight="1" s="51">
      <c r="A32" s="73" t="inlineStr">
        <is>
          <t>Messaging</t>
        </is>
      </c>
      <c r="B32" s="68" t="inlineStr">
        <is>
          <t>Fixed template text is uneditable in every send path, including the API</t>
        </is>
      </c>
      <c r="C32" s="68" t="inlineStr">
        <is>
          <t>Variable-fill-only template enforcement</t>
        </is>
      </c>
      <c r="D32" s="73" t="inlineStr">
        <is>
          <t>NB-191</t>
        </is>
      </c>
      <c r="E32" s="73" t="inlineStr">
        <is>
          <t>Must</t>
        </is>
      </c>
      <c r="F32" s="73" t="inlineStr">
        <is>
          <t>Go-live blocker</t>
        </is>
      </c>
      <c r="G32" s="73" t="inlineStr">
        <is>
          <t>No</t>
        </is>
      </c>
      <c r="H32" s="73" t="n"/>
    </row>
    <row r="33" ht="23.85" customHeight="1" s="51">
      <c r="A33" s="72" t="inlineStr">
        <is>
          <t>Messaging</t>
        </is>
      </c>
      <c r="B33" s="62" t="inlineStr">
        <is>
          <t>Consent gate on every outbound send, effective across all surfaces within one minute (SYS-02)</t>
        </is>
      </c>
      <c r="C33" s="62" t="inlineStr">
        <is>
          <t>Consent gate on every outbound send</t>
        </is>
      </c>
      <c r="D33" s="72" t="inlineStr">
        <is>
          <t>NB-196</t>
        </is>
      </c>
      <c r="E33" s="72" t="inlineStr">
        <is>
          <t>Must</t>
        </is>
      </c>
      <c r="F33" s="72" t="inlineStr">
        <is>
          <t>Go-live blocker</t>
        </is>
      </c>
      <c r="G33" s="72" t="inlineStr">
        <is>
          <t>No</t>
        </is>
      </c>
      <c r="H33" s="72" t="n"/>
    </row>
    <row r="34" ht="15" customHeight="1" s="51">
      <c r="A34" s="73" t="inlineStr">
        <is>
          <t>Messaging</t>
        </is>
      </c>
      <c r="B34" s="68" t="inlineStr">
        <is>
          <t>Child profiles can never receive marketing, enforced server-side (DPO-09 / CMP-04)</t>
        </is>
      </c>
      <c r="C34" s="68" t="inlineStr">
        <is>
          <t>Child marketing block</t>
        </is>
      </c>
      <c r="D34" s="73" t="inlineStr">
        <is>
          <t>NB-089</t>
        </is>
      </c>
      <c r="E34" s="73" t="inlineStr">
        <is>
          <t>Must</t>
        </is>
      </c>
      <c r="F34" s="73" t="inlineStr">
        <is>
          <t>Go-live blocker</t>
        </is>
      </c>
      <c r="G34" s="73" t="inlineStr">
        <is>
          <t>No</t>
        </is>
      </c>
      <c r="H34" s="73" t="n"/>
    </row>
    <row r="35" ht="15" customHeight="1" s="51">
      <c r="A35" s="72" t="inlineStr">
        <is>
          <t>Messaging</t>
        </is>
      </c>
      <c r="B35" s="62" t="inlineStr">
        <is>
          <t>India DLT registration complete; the surface is entirely absent for KSA tenants (CMP-07)</t>
        </is>
      </c>
      <c r="C35" s="62" t="inlineStr">
        <is>
          <t>India DLT registration</t>
        </is>
      </c>
      <c r="D35" s="72" t="inlineStr">
        <is>
          <t>NB-194</t>
        </is>
      </c>
      <c r="E35" s="72" t="inlineStr">
        <is>
          <t>Must</t>
        </is>
      </c>
      <c r="F35" s="72" t="inlineStr">
        <is>
          <t>Go-live blocker in India</t>
        </is>
      </c>
      <c r="G35" s="72" t="inlineStr">
        <is>
          <t>No</t>
        </is>
      </c>
      <c r="H35" s="72" t="n"/>
    </row>
    <row r="36" ht="15" customHeight="1" s="51">
      <c r="A36" s="73" t="inlineStr">
        <is>
          <t>Supply chain</t>
        </is>
      </c>
      <c r="B36" s="68" t="inlineStr">
        <is>
          <t>SCA in CI, SBOM per release, patch SLA by severity, build fails on critical CVE</t>
        </is>
      </c>
      <c r="C36" s="68" t="inlineStr">
        <is>
          <t>Secrets scanning &amp; dependency</t>
        </is>
      </c>
      <c r="D36" s="73" t="inlineStr">
        <is>
          <t>NB-290</t>
        </is>
      </c>
      <c r="E36" s="73" t="inlineStr">
        <is>
          <t>Must</t>
        </is>
      </c>
      <c r="F36" s="73" t="inlineStr">
        <is>
          <t>Go-live blocker</t>
        </is>
      </c>
      <c r="G36" s="73" t="inlineStr">
        <is>
          <t>No</t>
        </is>
      </c>
      <c r="H36" s="73" t="n"/>
    </row>
    <row r="37" ht="15" customHeight="1" s="51">
      <c r="A37" s="72" t="inlineStr">
        <is>
          <t>Detection</t>
        </is>
      </c>
      <c r="B37" s="62" t="inlineStr">
        <is>
          <t>SIEM alerting on auth failures, privilege change, support access and mass export</t>
        </is>
      </c>
      <c r="C37" s="62" t="inlineStr">
        <is>
          <t>Security logging, SIEM</t>
        </is>
      </c>
      <c r="D37" s="72" t="inlineStr">
        <is>
          <t>NB-293</t>
        </is>
      </c>
      <c r="E37" s="72" t="inlineStr">
        <is>
          <t>Must</t>
        </is>
      </c>
      <c r="F37" s="72" t="inlineStr">
        <is>
          <t>Go-live blocker</t>
        </is>
      </c>
      <c r="G37" s="72" t="inlineStr">
        <is>
          <t>No</t>
        </is>
      </c>
      <c r="H37" s="72" t="n"/>
    </row>
    <row r="38" ht="15" customHeight="1" s="51">
      <c r="A38" s="73" t="inlineStr">
        <is>
          <t>Detection</t>
        </is>
      </c>
      <c r="B38" s="68" t="inlineStr">
        <is>
          <t>Immutable append-only audit trail with before/after values (SYS-13)</t>
        </is>
      </c>
      <c r="C38" s="68" t="inlineStr">
        <is>
          <t>Immutable audit trail service</t>
        </is>
      </c>
      <c r="D38" s="73" t="inlineStr">
        <is>
          <t>NB-238</t>
        </is>
      </c>
      <c r="E38" s="73" t="inlineStr">
        <is>
          <t>Must</t>
        </is>
      </c>
      <c r="F38" s="73" t="inlineStr">
        <is>
          <t>Go-live blocker</t>
        </is>
      </c>
      <c r="G38" s="73" t="inlineStr">
        <is>
          <t>No</t>
        </is>
      </c>
      <c r="H38" s="73" t="n"/>
    </row>
    <row r="39" ht="15" customHeight="1" s="51">
      <c r="A39" s="72" t="inlineStr">
        <is>
          <t>Detection</t>
        </is>
      </c>
      <c r="B39" s="62" t="inlineStr">
        <is>
          <t>No PHI written to application logs — verified by an automated scanner</t>
        </is>
      </c>
      <c r="C39" s="62" t="inlineStr">
        <is>
          <t>Observability — metrics</t>
        </is>
      </c>
      <c r="D39" s="72" t="inlineStr">
        <is>
          <t>NB-304</t>
        </is>
      </c>
      <c r="E39" s="72" t="inlineStr">
        <is>
          <t>Must</t>
        </is>
      </c>
      <c r="F39" s="72" t="inlineStr">
        <is>
          <t>Go-live blocker</t>
        </is>
      </c>
      <c r="G39" s="72" t="inlineStr">
        <is>
          <t>No</t>
        </is>
      </c>
      <c r="H39" s="72" t="n"/>
    </row>
    <row r="40" ht="15" customHeight="1" s="51">
      <c r="A40" s="73" t="inlineStr">
        <is>
          <t>Resilience</t>
        </is>
      </c>
      <c r="B40" s="68" t="inlineStr">
        <is>
          <t>Encrypted backups with point-in-time recovery, never crossing a region boundary</t>
        </is>
      </c>
      <c r="C40" s="68" t="inlineStr">
        <is>
          <t>Backup, retention &amp; restore</t>
        </is>
      </c>
      <c r="D40" s="73" t="inlineStr">
        <is>
          <t>NB-306</t>
        </is>
      </c>
      <c r="E40" s="73" t="inlineStr">
        <is>
          <t>Must</t>
        </is>
      </c>
      <c r="F40" s="73" t="inlineStr">
        <is>
          <t>Go-live blocker</t>
        </is>
      </c>
      <c r="G40" s="73" t="inlineStr">
        <is>
          <t>No</t>
        </is>
      </c>
      <c r="H40" s="73" t="n"/>
    </row>
    <row r="41" ht="15" customHeight="1" s="51">
      <c r="A41" s="72" t="inlineStr">
        <is>
          <t>Resilience</t>
        </is>
      </c>
      <c r="B41" s="62" t="inlineStr">
        <is>
          <t>Immutable backup copies and an isolated recovery environment for ransomware</t>
        </is>
      </c>
      <c r="C41" s="62" t="inlineStr">
        <is>
          <t>Business continuity &amp; ransomware</t>
        </is>
      </c>
      <c r="D41" s="72" t="inlineStr">
        <is>
          <t>NB-296</t>
        </is>
      </c>
      <c r="E41" s="72" t="inlineStr">
        <is>
          <t>Must</t>
        </is>
      </c>
      <c r="F41" s="72" t="inlineStr">
        <is>
          <t>Go-live blocker</t>
        </is>
      </c>
      <c r="G41" s="72" t="inlineStr">
        <is>
          <t>No</t>
        </is>
      </c>
      <c r="H41" s="72" t="n"/>
    </row>
    <row r="42" ht="15" customHeight="1" s="51">
      <c r="A42" s="73" t="inlineStr">
        <is>
          <t>Resilience</t>
        </is>
      </c>
      <c r="B42" s="68" t="inlineStr">
        <is>
          <t>DR drill meeting RTO 4h / RPO 15 min in both regions</t>
        </is>
      </c>
      <c r="C42" s="68" t="inlineStr">
        <is>
          <t>Disaster recovery — RTO/RPO</t>
        </is>
      </c>
      <c r="D42" s="73" t="inlineStr">
        <is>
          <t>NB-307</t>
        </is>
      </c>
      <c r="E42" s="73" t="inlineStr">
        <is>
          <t>Must</t>
        </is>
      </c>
      <c r="F42" s="73" t="inlineStr">
        <is>
          <t>Go-live blocker</t>
        </is>
      </c>
      <c r="G42" s="73" t="inlineStr">
        <is>
          <t>No</t>
        </is>
      </c>
      <c r="H42" s="73" t="n"/>
    </row>
    <row r="43" ht="15" customHeight="1" s="51">
      <c r="A43" s="72" t="inlineStr">
        <is>
          <t>Resilience</t>
        </is>
      </c>
      <c r="B43" s="62" t="inlineStr">
        <is>
          <t>A third-party outage never blocks clinical or billing work</t>
        </is>
      </c>
      <c r="C43" s="62" t="inlineStr">
        <is>
          <t>Graceful degradation for third-party</t>
        </is>
      </c>
      <c r="D43" s="72" t="inlineStr">
        <is>
          <t>NB-330</t>
        </is>
      </c>
      <c r="E43" s="72" t="inlineStr">
        <is>
          <t>Should</t>
        </is>
      </c>
      <c r="F43" s="72" t="inlineStr">
        <is>
          <t>Post-launch acceptable</t>
        </is>
      </c>
      <c r="G43" s="72" t="inlineStr">
        <is>
          <t>No</t>
        </is>
      </c>
      <c r="H43" s="72" t="n"/>
    </row>
    <row r="44" ht="15" customHeight="1" s="51">
      <c r="A44" s="73" t="inlineStr">
        <is>
          <t>Resilience</t>
        </is>
      </c>
      <c r="B44" s="68" t="inlineStr">
        <is>
          <t>A sync backlog is treated as a clinic working offline, not as lost data (SYS-22 / NFR-12)</t>
        </is>
      </c>
      <c r="C44" s="68" t="inlineStr">
        <is>
          <t>Offline queue, replay &amp; sync banner</t>
        </is>
      </c>
      <c r="D44" s="73" t="inlineStr">
        <is>
          <t>NB-328</t>
        </is>
      </c>
      <c r="E44" s="73" t="inlineStr">
        <is>
          <t>Must</t>
        </is>
      </c>
      <c r="F44" s="73" t="inlineStr">
        <is>
          <t>Go-live blocker</t>
        </is>
      </c>
      <c r="G44" s="73" t="inlineStr">
        <is>
          <t>No</t>
        </is>
      </c>
      <c r="H44" s="73" t="n"/>
    </row>
    <row r="45" ht="15" customHeight="1" s="51">
      <c r="A45" s="72" t="inlineStr">
        <is>
          <t>Assurance</t>
        </is>
      </c>
      <c r="B45" s="62" t="inlineStr">
        <is>
          <t>Annual CERT-In-empanelled VAPT for India, plus the annual tenant drill (NFR-09)</t>
        </is>
      </c>
      <c r="C45" s="62" t="inlineStr">
        <is>
          <t>Annual CERT-In-empanelled VAPT</t>
        </is>
      </c>
      <c r="D45" s="72" t="inlineStr">
        <is>
          <t>NB-294</t>
        </is>
      </c>
      <c r="E45" s="72" t="inlineStr">
        <is>
          <t>Must</t>
        </is>
      </c>
      <c r="F45" s="72" t="inlineStr">
        <is>
          <t>Go-live blocker in India</t>
        </is>
      </c>
      <c r="G45" s="72" t="inlineStr">
        <is>
          <t>No</t>
        </is>
      </c>
      <c r="H45" s="72" t="n"/>
    </row>
    <row r="46" ht="15" customHeight="1" s="51">
      <c r="A46" s="73" t="inlineStr">
        <is>
          <t>Assurance</t>
        </is>
      </c>
      <c r="B46" s="68" t="inlineStr">
        <is>
          <t>Independent penetration test covering the KSA stack</t>
        </is>
      </c>
      <c r="C46" s="68" t="inlineStr">
        <is>
          <t>KSA penetration test</t>
        </is>
      </c>
      <c r="D46" s="73" t="inlineStr">
        <is>
          <t>NB-295</t>
        </is>
      </c>
      <c r="E46" s="73" t="inlineStr">
        <is>
          <t>Must</t>
        </is>
      </c>
      <c r="F46" s="73" t="inlineStr">
        <is>
          <t>Go-live blocker in KSA</t>
        </is>
      </c>
      <c r="G46" s="73" t="inlineStr">
        <is>
          <t>No</t>
        </is>
      </c>
      <c r="H46" s="73" t="n"/>
    </row>
    <row r="47" ht="15" customHeight="1" s="51">
      <c r="A47" s="72" t="inlineStr">
        <is>
          <t>Assurance</t>
        </is>
      </c>
      <c r="B47" s="62" t="inlineStr">
        <is>
          <t>Threat model reviewed with mitigations tracked</t>
        </is>
      </c>
      <c r="C47" s="62" t="inlineStr">
        <is>
          <t>Threat model &amp; security architecture</t>
        </is>
      </c>
      <c r="D47" s="72" t="inlineStr">
        <is>
          <t>NB-282</t>
        </is>
      </c>
      <c r="E47" s="72" t="inlineStr">
        <is>
          <t>Must</t>
        </is>
      </c>
      <c r="F47" s="72" t="inlineStr">
        <is>
          <t>Go-live blocker</t>
        </is>
      </c>
      <c r="G47" s="72" t="inlineStr">
        <is>
          <t>No</t>
        </is>
      </c>
      <c r="H47" s="72" t="n"/>
    </row>
    <row r="48" ht="15" customHeight="1" s="51">
      <c r="A48" s="73" t="inlineStr">
        <is>
          <t>Assurance</t>
        </is>
      </c>
      <c r="B48" s="68" t="inlineStr">
        <is>
          <t>Breach runbook with a completed tabletop exercise</t>
        </is>
      </c>
      <c r="C48" s="68" t="inlineStr">
        <is>
          <t>Breach-notification runbook</t>
        </is>
      </c>
      <c r="D48" s="73" t="inlineStr">
        <is>
          <t>NB-248</t>
        </is>
      </c>
      <c r="E48" s="73" t="inlineStr">
        <is>
          <t>Must</t>
        </is>
      </c>
      <c r="F48" s="73" t="inlineStr">
        <is>
          <t>Go-live blocker</t>
        </is>
      </c>
      <c r="G48" s="73" t="inlineStr">
        <is>
          <t>No</t>
        </is>
      </c>
      <c r="H48" s="73" t="n"/>
    </row>
    <row r="49" ht="15" customHeight="1" s="51">
      <c r="A49" s="72" t="inlineStr">
        <is>
          <t>Assurance</t>
        </is>
      </c>
      <c r="B49" s="62" t="inlineStr">
        <is>
          <t>Platform-side breach and incident operations console (DPO-03 / SSA-05)</t>
        </is>
      </c>
      <c r="C49" s="62" t="inlineStr">
        <is>
          <t>Platform breach management operations</t>
        </is>
      </c>
      <c r="D49" s="72" t="inlineStr">
        <is>
          <t>NB-249</t>
        </is>
      </c>
      <c r="E49" s="72" t="inlineStr">
        <is>
          <t>Must</t>
        </is>
      </c>
      <c r="F49" s="72" t="inlineStr">
        <is>
          <t>Go-live blocker</t>
        </is>
      </c>
      <c r="G49" s="72" t="inlineStr">
        <is>
          <t>No</t>
        </is>
      </c>
      <c r="H49" s="72" t="n"/>
    </row>
    <row r="50" ht="15" customHeight="1" s="51">
      <c r="A50" s="73" t="inlineStr">
        <is>
          <t>Privacy — India</t>
        </is>
      </c>
      <c r="B50" s="68" t="inlineStr">
        <is>
          <t>DPDP Act 2023 pack: consent, notice, rights, grievance officer, breach reporting</t>
        </is>
      </c>
      <c r="C50" s="68" t="inlineStr">
        <is>
          <t>India DPDP Act 2023</t>
        </is>
      </c>
      <c r="D50" s="73" t="inlineStr">
        <is>
          <t>NB-253</t>
        </is>
      </c>
      <c r="E50" s="73" t="inlineStr">
        <is>
          <t>Must</t>
        </is>
      </c>
      <c r="F50" s="73" t="inlineStr">
        <is>
          <t>Go-live blocker in India</t>
        </is>
      </c>
      <c r="G50" s="73" t="inlineStr">
        <is>
          <t>No</t>
        </is>
      </c>
      <c r="H50" s="73" t="n"/>
    </row>
    <row r="51" ht="15" customHeight="1" s="51">
      <c r="A51" s="72" t="inlineStr">
        <is>
          <t>Privacy — Saudi</t>
        </is>
      </c>
      <c r="B51" s="62" t="inlineStr">
        <is>
          <t>PDPL / SDAIA pack: residency, controller obligations, cross-border rules, retention</t>
        </is>
      </c>
      <c r="C51" s="62" t="inlineStr">
        <is>
          <t>Saudi PDPL &amp; SDAIA</t>
        </is>
      </c>
      <c r="D51" s="72" t="inlineStr">
        <is>
          <t>NB-254</t>
        </is>
      </c>
      <c r="E51" s="72" t="inlineStr">
        <is>
          <t>Must</t>
        </is>
      </c>
      <c r="F51" s="72" t="inlineStr">
        <is>
          <t>Go-live blocker in KSA</t>
        </is>
      </c>
      <c r="G51" s="72" t="inlineStr">
        <is>
          <t>No</t>
        </is>
      </c>
      <c r="H51" s="72" t="n"/>
    </row>
    <row r="52" ht="15" customHeight="1" s="51">
      <c r="A52" s="73" t="inlineStr">
        <is>
          <t>Privacy</t>
        </is>
      </c>
      <c r="B52" s="68" t="inlineStr">
        <is>
          <t>Consent versioned, withdrawable, and a hard gate with owner evidence (CMP-01 / CMP-02)</t>
        </is>
      </c>
      <c r="C52" s="68" t="inlineStr">
        <is>
          <t>Consent as a hard gate</t>
        </is>
      </c>
      <c r="D52" s="73" t="inlineStr">
        <is>
          <t>NB-241</t>
        </is>
      </c>
      <c r="E52" s="73" t="inlineStr">
        <is>
          <t>Must</t>
        </is>
      </c>
      <c r="F52" s="73" t="inlineStr">
        <is>
          <t>Go-live blocker</t>
        </is>
      </c>
      <c r="G52" s="73" t="inlineStr">
        <is>
          <t>No</t>
        </is>
      </c>
      <c r="H52" s="73" t="n"/>
    </row>
    <row r="53" ht="15" customHeight="1" s="51">
      <c r="A53" s="72" t="inlineStr">
        <is>
          <t>Privacy</t>
        </is>
      </c>
      <c r="B53" s="62" t="inlineStr">
        <is>
          <t>Consent and DPA registry with full version audit (DPO-01)</t>
        </is>
      </c>
      <c r="C53" s="62" t="inlineStr">
        <is>
          <t>Consent registry &amp; versioned audit</t>
        </is>
      </c>
      <c r="D53" s="72" t="inlineStr">
        <is>
          <t>NB-242</t>
        </is>
      </c>
      <c r="E53" s="72" t="inlineStr">
        <is>
          <t>Must</t>
        </is>
      </c>
      <c r="F53" s="72" t="inlineStr">
        <is>
          <t>Go-live blocker</t>
        </is>
      </c>
      <c r="G53" s="72" t="inlineStr">
        <is>
          <t>No</t>
        </is>
      </c>
      <c r="H53" s="72" t="n"/>
    </row>
    <row r="54" ht="15" customHeight="1" s="51">
      <c r="A54" s="73" t="inlineStr">
        <is>
          <t>Privacy</t>
        </is>
      </c>
      <c r="B54" s="68" t="inlineStr">
        <is>
          <t>DSR engine with statutory timers and automatic closure letters (DPO-02)</t>
        </is>
      </c>
      <c r="C54" s="68" t="inlineStr">
        <is>
          <t>DSR workflow engine</t>
        </is>
      </c>
      <c r="D54" s="73" t="inlineStr">
        <is>
          <t>NB-244</t>
        </is>
      </c>
      <c r="E54" s="73" t="inlineStr">
        <is>
          <t>Must</t>
        </is>
      </c>
      <c r="F54" s="73" t="inlineStr">
        <is>
          <t>Go-live blocker</t>
        </is>
      </c>
      <c r="G54" s="73" t="inlineStr">
        <is>
          <t>No</t>
        </is>
      </c>
      <c r="H54" s="73" t="n"/>
    </row>
    <row r="55" ht="15" customHeight="1" s="51">
      <c r="A55" s="72" t="inlineStr">
        <is>
          <t>Privacy</t>
        </is>
      </c>
      <c r="B55" s="62" t="inlineStr">
        <is>
          <t>Regulator or owner export within 72 hours, 3-year retention (NFR-07)</t>
        </is>
      </c>
      <c r="C55" s="62" t="inlineStr">
        <is>
          <t>Patient data export &amp; erasure execution</t>
        </is>
      </c>
      <c r="D55" s="72" t="inlineStr">
        <is>
          <t>NB-078</t>
        </is>
      </c>
      <c r="E55" s="72" t="inlineStr">
        <is>
          <t>Must</t>
        </is>
      </c>
      <c r="F55" s="72" t="inlineStr">
        <is>
          <t>Go-live blocker</t>
        </is>
      </c>
      <c r="G55" s="72" t="inlineStr">
        <is>
          <t>No</t>
        </is>
      </c>
      <c r="H55" s="72" t="n"/>
    </row>
    <row r="56" ht="15" customHeight="1" s="51">
      <c r="A56" s="73" t="inlineStr">
        <is>
          <t>Privacy</t>
        </is>
      </c>
      <c r="B56" s="68" t="inlineStr">
        <is>
          <t>Retention defaults active from day one with a pre-delete notice (CMP-05)</t>
        </is>
      </c>
      <c r="C56" s="68" t="inlineStr">
        <is>
          <t>Retention auto-rules</t>
        </is>
      </c>
      <c r="D56" s="73" t="inlineStr">
        <is>
          <t>NB-245</t>
        </is>
      </c>
      <c r="E56" s="73" t="inlineStr">
        <is>
          <t>Must</t>
        </is>
      </c>
      <c r="F56" s="73" t="inlineStr">
        <is>
          <t>Go-live blocker</t>
        </is>
      </c>
      <c r="G56" s="73" t="inlineStr">
        <is>
          <t>No</t>
        </is>
      </c>
      <c r="H56" s="73" t="n"/>
    </row>
    <row r="57" ht="15" customHeight="1" s="51">
      <c r="A57" s="72" t="inlineStr">
        <is>
          <t>Privacy</t>
        </is>
      </c>
      <c r="B57" s="62" t="inlineStr">
        <is>
          <t>Retention clocks per region with legal hold overriding erasure</t>
        </is>
      </c>
      <c r="C57" s="62" t="inlineStr">
        <is>
          <t>Medical record retention &amp; legal hold</t>
        </is>
      </c>
      <c r="D57" s="72" t="inlineStr">
        <is>
          <t>NB-247</t>
        </is>
      </c>
      <c r="E57" s="72" t="inlineStr">
        <is>
          <t>Must</t>
        </is>
      </c>
      <c r="F57" s="72" t="inlineStr">
        <is>
          <t>Go-live blocker</t>
        </is>
      </c>
      <c r="G57" s="72" t="inlineStr">
        <is>
          <t>No</t>
        </is>
      </c>
      <c r="H57" s="72" t="n"/>
    </row>
    <row r="58" ht="15" customHeight="1" s="51">
      <c r="A58" s="73" t="inlineStr">
        <is>
          <t>Privacy</t>
        </is>
      </c>
      <c r="B58" s="68" t="inlineStr">
        <is>
          <t>Data classification standard applied to every table and log field</t>
        </is>
      </c>
      <c r="C58" s="68" t="inlineStr">
        <is>
          <t>Data classification &amp; handling standard</t>
        </is>
      </c>
      <c r="D58" s="73" t="inlineStr">
        <is>
          <t>NB-255</t>
        </is>
      </c>
      <c r="E58" s="73" t="inlineStr">
        <is>
          <t>Must</t>
        </is>
      </c>
      <c r="F58" s="73" t="inlineStr">
        <is>
          <t>Go-live blocker</t>
        </is>
      </c>
      <c r="G58" s="73" t="inlineStr">
        <is>
          <t>No</t>
        </is>
      </c>
      <c r="H58" s="73" t="n"/>
    </row>
    <row r="59" ht="15" customHeight="1" s="51">
      <c r="A59" s="72" t="inlineStr">
        <is>
          <t>Privacy</t>
        </is>
      </c>
      <c r="B59" s="62" t="inlineStr">
        <is>
          <t>Plan plus signed digital DPA required before the tenant may hold patient data (CEO-17)</t>
        </is>
      </c>
      <c r="C59" s="62" t="inlineStr">
        <is>
          <t>Digital DPA gate</t>
        </is>
      </c>
      <c r="D59" s="72" t="inlineStr">
        <is>
          <t>NB-276</t>
        </is>
      </c>
      <c r="E59" s="72" t="inlineStr">
        <is>
          <t>Must</t>
        </is>
      </c>
      <c r="F59" s="72" t="inlineStr">
        <is>
          <t>Go-live blocker</t>
        </is>
      </c>
      <c r="G59" s="72" t="inlineStr">
        <is>
          <t>No</t>
        </is>
      </c>
      <c r="H59" s="72" t="n"/>
    </row>
    <row r="60" ht="15" customHeight="1" s="51">
      <c r="A60" s="73" t="inlineStr">
        <is>
          <t>Payments</t>
        </is>
      </c>
      <c r="B60" s="68" t="inlineStr">
        <is>
          <t>PCI-DSS SAQ-A scope: no card data touches Nabd servers</t>
        </is>
      </c>
      <c r="C60" s="68" t="inlineStr">
        <is>
          <t>Payment gateway integration</t>
        </is>
      </c>
      <c r="D60" s="73" t="inlineStr">
        <is>
          <t>NB-168</t>
        </is>
      </c>
      <c r="E60" s="73" t="inlineStr">
        <is>
          <t>Must</t>
        </is>
      </c>
      <c r="F60" s="73" t="inlineStr">
        <is>
          <t>Go-live blocker</t>
        </is>
      </c>
      <c r="G60" s="73" t="inlineStr">
        <is>
          <t>No</t>
        </is>
      </c>
      <c r="H60" s="73" t="n"/>
    </row>
    <row r="61" ht="15" customHeight="1" s="51">
      <c r="A61" s="72" t="inlineStr">
        <is>
          <t>Payments</t>
        </is>
      </c>
      <c r="B61" s="62" t="inlineStr">
        <is>
          <t>ZATCA e-invoicing passes the sandbox compliance validator</t>
        </is>
      </c>
      <c r="C61" s="62" t="inlineStr">
        <is>
          <t>Saudi VAT &amp; ZATCA</t>
        </is>
      </c>
      <c r="D61" s="72" t="inlineStr">
        <is>
          <t>NB-164</t>
        </is>
      </c>
      <c r="E61" s="72" t="inlineStr">
        <is>
          <t>Must</t>
        </is>
      </c>
      <c r="F61" s="72" t="inlineStr">
        <is>
          <t>Go-live blocker in KSA</t>
        </is>
      </c>
      <c r="G61" s="72" t="inlineStr">
        <is>
          <t>No</t>
        </is>
      </c>
      <c r="H61" s="72" t="n"/>
    </row>
    <row r="62" ht="15" customHeight="1" s="51">
      <c r="A62" s="73" t="inlineStr">
        <is>
          <t>Payments</t>
        </is>
      </c>
      <c r="B62" s="68" t="inlineStr">
        <is>
          <t>GST and ZATCA output independently verified against worked examples</t>
        </is>
      </c>
      <c r="C62" s="68" t="inlineStr">
        <is>
          <t>Tax &amp; invoice correctness test pack</t>
        </is>
      </c>
      <c r="D62" s="73" t="inlineStr">
        <is>
          <t>NB-322</t>
        </is>
      </c>
      <c r="E62" s="73" t="inlineStr">
        <is>
          <t>Must</t>
        </is>
      </c>
      <c r="F62" s="73" t="inlineStr">
        <is>
          <t>Go-live blocker</t>
        </is>
      </c>
      <c r="G62" s="73" t="inlineStr">
        <is>
          <t>No</t>
        </is>
      </c>
      <c r="H62" s="73" t="n"/>
    </row>
    <row r="63" ht="15" customHeight="1" s="51">
      <c r="A63" s="72" t="inlineStr">
        <is>
          <t>Clinical safety</t>
        </is>
      </c>
      <c r="B63" s="62" t="inlineStr">
        <is>
          <t>Allergy conflicts cannot be overridden without a documented reason (DERM-05)</t>
        </is>
      </c>
      <c r="C63" s="62" t="inlineStr">
        <is>
          <t>Allergy hard-warning</t>
        </is>
      </c>
      <c r="D63" s="72" t="inlineStr">
        <is>
          <t>NB-108</t>
        </is>
      </c>
      <c r="E63" s="72" t="inlineStr">
        <is>
          <t>Must</t>
        </is>
      </c>
      <c r="F63" s="72" t="inlineStr">
        <is>
          <t>Go-live blocker</t>
        </is>
      </c>
      <c r="G63" s="72" t="inlineStr">
        <is>
          <t>No</t>
        </is>
      </c>
      <c r="H63" s="72" t="n"/>
    </row>
    <row r="64" ht="15" customHeight="1" s="51">
      <c r="A64" s="73" t="inlineStr">
        <is>
          <t>Clinical safety</t>
        </is>
      </c>
      <c r="B64" s="68" t="inlineStr">
        <is>
          <t>Paediatric dosing derives from recorded weight via a named, versioned rule source (PED-05)</t>
        </is>
      </c>
      <c r="C64" s="68" t="inlineStr">
        <is>
          <t>Weight-based paediatric dosing</t>
        </is>
      </c>
      <c r="D64" s="73" t="inlineStr">
        <is>
          <t>NB-112</t>
        </is>
      </c>
      <c r="E64" s="73" t="inlineStr">
        <is>
          <t>Must</t>
        </is>
      </c>
      <c r="F64" s="73" t="inlineStr">
        <is>
          <t>Go-live blocker</t>
        </is>
      </c>
      <c r="G64" s="73" t="inlineStr">
        <is>
          <t>No</t>
        </is>
      </c>
      <c r="H64" s="73" t="n"/>
    </row>
    <row r="65" ht="15" customHeight="1" s="51">
      <c r="A65" s="72" t="inlineStr">
        <is>
          <t>Clinical safety</t>
        </is>
      </c>
      <c r="B65" s="62" t="inlineStr">
        <is>
          <t>Pregnancy and lactation warnings fire without the Gynaecology profile (GYN-03)</t>
        </is>
      </c>
      <c r="C65" s="62" t="inlineStr">
        <is>
          <t>Pregnancy &amp; lactation warnings</t>
        </is>
      </c>
      <c r="D65" s="72" t="inlineStr">
        <is>
          <t>NB-113</t>
        </is>
      </c>
      <c r="E65" s="72" t="inlineStr">
        <is>
          <t>Must</t>
        </is>
      </c>
      <c r="F65" s="72" t="inlineStr">
        <is>
          <t>Go-live blocker</t>
        </is>
      </c>
      <c r="G65" s="72" t="inlineStr">
        <is>
          <t>No</t>
        </is>
      </c>
      <c r="H65" s="72" t="n"/>
    </row>
    <row r="66" ht="15" customHeight="1" s="51">
      <c r="A66" s="73" t="inlineStr">
        <is>
          <t>Clinical safety</t>
        </is>
      </c>
      <c r="B66" s="68" t="inlineStr">
        <is>
          <t>Signed clinical notes immutable; amendments append with reason and author</t>
        </is>
      </c>
      <c r="C66" s="68" t="inlineStr">
        <is>
          <t>Clinical note amendment</t>
        </is>
      </c>
      <c r="D66" s="73" t="inlineStr">
        <is>
          <t>NB-104</t>
        </is>
      </c>
      <c r="E66" s="73" t="inlineStr">
        <is>
          <t>Must</t>
        </is>
      </c>
      <c r="F66" s="73" t="inlineStr">
        <is>
          <t>Go-live blocker</t>
        </is>
      </c>
      <c r="G66" s="73" t="inlineStr">
        <is>
          <t>No</t>
        </is>
      </c>
      <c r="H66" s="73" t="n"/>
    </row>
    <row r="67" ht="15" customHeight="1" s="51">
      <c r="A67" s="72" t="inlineStr">
        <is>
          <t>Clinical safety</t>
        </is>
      </c>
      <c r="B67" s="62" t="inlineStr">
        <is>
          <t>A procedure cannot proceed without recorded consent (DOC-09)</t>
        </is>
      </c>
      <c r="C67" s="62" t="inlineStr">
        <is>
          <t>Procedure consent capture &amp; signature</t>
        </is>
      </c>
      <c r="D67" s="72" t="inlineStr">
        <is>
          <t>NB-119</t>
        </is>
      </c>
      <c r="E67" s="72" t="inlineStr">
        <is>
          <t>Must</t>
        </is>
      </c>
      <c r="F67" s="72" t="inlineStr">
        <is>
          <t>Go-live blocker</t>
        </is>
      </c>
      <c r="G67" s="72" t="inlineStr">
        <is>
          <t>No</t>
        </is>
      </c>
      <c r="H67" s="72" t="n"/>
    </row>
    <row r="68" ht="15" customHeight="1" s="51">
      <c r="A68" s="73" t="inlineStr">
        <is>
          <t>Clinical safety</t>
        </is>
      </c>
      <c r="B68" s="68" t="inlineStr">
        <is>
          <t>Emergency phrases halt aggregator routing and show emergency guidance only (AGG-02)</t>
        </is>
      </c>
      <c r="C68" s="68" t="inlineStr">
        <is>
          <t>Emergency phrase interception</t>
        </is>
      </c>
      <c r="D68" s="73" t="inlineStr">
        <is>
          <t>NB-222</t>
        </is>
      </c>
      <c r="E68" s="73" t="inlineStr">
        <is>
          <t>Must</t>
        </is>
      </c>
      <c r="F68" s="73" t="inlineStr">
        <is>
          <t>Go-live blocker for aggregator</t>
        </is>
      </c>
      <c r="G68" s="73" t="inlineStr">
        <is>
          <t>No</t>
        </is>
      </c>
      <c r="H68" s="73" t="n"/>
    </row>
    <row r="69" ht="15" customHeight="1" s="51">
      <c r="A69" s="72" t="inlineStr">
        <is>
          <t>Clinical safety</t>
        </is>
      </c>
      <c r="B69" s="62" t="inlineStr">
        <is>
          <t>Hazard log reviewed and signed by a clinical safety officer</t>
        </is>
      </c>
      <c r="C69" s="62" t="inlineStr">
        <is>
          <t>Clinical safety test cases</t>
        </is>
      </c>
      <c r="D69" s="72" t="inlineStr">
        <is>
          <t>NB-321</t>
        </is>
      </c>
      <c r="E69" s="72" t="inlineStr">
        <is>
          <t>Must</t>
        </is>
      </c>
      <c r="F69" s="72" t="inlineStr">
        <is>
          <t>Go-live blocker</t>
        </is>
      </c>
      <c r="G69" s="72" t="inlineStr">
        <is>
          <t>No</t>
        </is>
      </c>
      <c r="H69" s="72" t="n"/>
    </row>
    <row r="70" ht="15" customHeight="1" s="51">
      <c r="A70" s="73" t="inlineStr">
        <is>
          <t>Traceability</t>
        </is>
      </c>
      <c r="B70" s="68" t="inlineStr">
        <is>
          <t>Every wireframe requirement identifier mapped to a delivered, tested task</t>
        </is>
      </c>
      <c r="C70" s="68" t="inlineStr">
        <is>
          <t>Requirement traceability &amp; coverage sign-off</t>
        </is>
      </c>
      <c r="D70" s="73" t="inlineStr">
        <is>
          <t>NB-343</t>
        </is>
      </c>
      <c r="E70" s="73" t="inlineStr">
        <is>
          <t>Must</t>
        </is>
      </c>
      <c r="F70" s="73" t="inlineStr">
        <is>
          <t>Go-live blocker</t>
        </is>
      </c>
      <c r="G70" s="73" t="inlineStr">
        <is>
          <t>No</t>
        </is>
      </c>
      <c r="H70" s="73" t="n"/>
    </row>
    <row r="71" ht="15" customHeight="1" s="51">
      <c r="A71" s="72" t="inlineStr">
        <is>
          <t>People</t>
        </is>
      </c>
      <c r="B71" s="62" t="inlineStr">
        <is>
          <t>Security awareness and clinical data handling training completed by all staff</t>
        </is>
      </c>
      <c r="C71" s="62" t="inlineStr">
        <is>
          <t>Staff security awareness &amp; data handling</t>
        </is>
      </c>
      <c r="D71" s="72" t="inlineStr">
        <is>
          <t>NB-348</t>
        </is>
      </c>
      <c r="E71" s="72" t="inlineStr">
        <is>
          <t>Should</t>
        </is>
      </c>
      <c r="F71" s="72" t="inlineStr">
        <is>
          <t>Before pilot</t>
        </is>
      </c>
      <c r="G71" s="72" t="inlineStr">
        <is>
          <t>No</t>
        </is>
      </c>
      <c r="H71" s="72" t="n"/>
    </row>
    <row r="73" ht="15" customHeight="1" s="51">
      <c r="A73" s="56" t="inlineStr">
        <is>
          <t>Go-live gate</t>
        </is>
      </c>
      <c r="B73" s="55" t="inlineStr">
        <is>
          <t>Blocking controls outstanding</t>
        </is>
      </c>
      <c r="D73" s="97">
        <f>COUNTIFS(F5:F71,"Go-live blocker*",G5:G71,"&lt;&gt;Yes")</f>
        <v/>
      </c>
    </row>
    <row r="74" ht="15" customHeight="1" s="51">
      <c r="B74" s="55" t="inlineStr">
        <is>
          <t>Controls verified</t>
        </is>
      </c>
      <c r="D74" s="54">
        <f>COUNTIF(G5:G71,"Yes")&amp;" of "&amp;COUNTA(B5:B71)</f>
        <v/>
      </c>
    </row>
  </sheetData>
  <conditionalFormatting sqref="G5:G71">
    <cfRule type="cellIs" rank="0" priority="2" equalAverage="0" operator="equal" aboveAverage="0" dxfId="7" text="" percent="0" bottom="0">
      <formula>"Yes"</formula>
    </cfRule>
    <cfRule type="cellIs" rank="0" priority="3" equalAverage="0" operator="equal" aboveAverage="0" dxfId="8" text="" percent="0" bottom="0">
      <formula>"No"</formula>
    </cfRule>
  </conditionalFormatting>
  <dataValidations count="1">
    <dataValidation sqref="G5:G71" showDropDown="0" showInputMessage="0" showErrorMessage="0" allowBlank="1" type="list" errorStyle="stop" operator="between">
      <formula1>"No,In progress,Yes,N/A"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50" min="1" max="1"/>
    <col width="17" customWidth="1" style="50" min="2" max="2"/>
    <col width="52" customWidth="1" style="50" min="3" max="3"/>
    <col width="12" customWidth="1" style="50" min="4" max="4"/>
    <col width="14" customWidth="1" style="50" min="5" max="5"/>
    <col width="9" customWidth="1" style="50" min="6" max="6"/>
    <col width="60" customWidth="1" style="50" min="7" max="7"/>
    <col width="26" customWidth="1" style="50" min="8" max="8"/>
    <col width="18" customWidth="1" style="50" min="9" max="9"/>
  </cols>
  <sheetData>
    <row r="1" ht="19.7" customHeight="1" s="51">
      <c r="A1" s="52" t="inlineStr">
        <is>
          <t>Delivery, security and clinical-safety risks</t>
        </is>
      </c>
    </row>
    <row r="3" ht="15" customHeight="1" s="51">
      <c r="A3" s="59" t="inlineStr">
        <is>
          <t>ID</t>
        </is>
      </c>
      <c r="B3" s="59" t="inlineStr">
        <is>
          <t>Category</t>
        </is>
      </c>
      <c r="C3" s="59" t="inlineStr">
        <is>
          <t>Risk</t>
        </is>
      </c>
      <c r="D3" s="59" t="inlineStr">
        <is>
          <t>Impact (1-5)</t>
        </is>
      </c>
      <c r="E3" s="59" t="inlineStr">
        <is>
          <t>Likelihood (1-5)</t>
        </is>
      </c>
      <c r="F3" s="59" t="inlineStr">
        <is>
          <t>Score</t>
        </is>
      </c>
      <c r="G3" s="59" t="inlineStr">
        <is>
          <t>Mitigation</t>
        </is>
      </c>
      <c r="H3" s="59" t="inlineStr">
        <is>
          <t>Related Tasks</t>
        </is>
      </c>
      <c r="I3" s="59" t="inlineStr">
        <is>
          <t>Owner</t>
        </is>
      </c>
    </row>
    <row r="4" ht="35.05" customHeight="1" s="51">
      <c r="A4" s="62" t="inlineStr">
        <is>
          <t>R-01</t>
        </is>
      </c>
      <c r="B4" s="62" t="inlineStr">
        <is>
          <t>Clinical safety</t>
        </is>
      </c>
      <c r="C4" s="62" t="inlineStr">
        <is>
          <t>A prescribing, dosing or allergy defect reaches production and causes patient harm.</t>
        </is>
      </c>
      <c r="D4" s="66" t="n">
        <v>5</v>
      </c>
      <c r="E4" s="66" t="n">
        <v>3</v>
      </c>
      <c r="F4" s="66">
        <f>D4*E4</f>
        <v/>
      </c>
      <c r="G4" s="62" t="inlineStr">
        <is>
          <t>Clinical safety test suite and hazard log signed by a clinical safety officer; mandatory override reasons; validated dose rule source; staged pilot rollout.</t>
        </is>
      </c>
      <c r="H4" s="62" t="inlineStr">
        <is>
          <t>NB-321, NB-108, NB-112</t>
        </is>
      </c>
      <c r="I4" s="62" t="inlineStr">
        <is>
          <t>Clinical Lead</t>
        </is>
      </c>
    </row>
    <row r="5" ht="35.05" customHeight="1" s="51">
      <c r="A5" s="68" t="inlineStr">
        <is>
          <t>R-02</t>
        </is>
      </c>
      <c r="B5" s="68" t="inlineStr">
        <is>
          <t>Clinical safety</t>
        </is>
      </c>
      <c r="C5" s="68" t="inlineStr">
        <is>
          <t>The aggregator routes an emergency to a clinic instead of emergency services.</t>
        </is>
      </c>
      <c r="D5" s="69" t="n">
        <v>5</v>
      </c>
      <c r="E5" s="69" t="n">
        <v>2</v>
      </c>
      <c r="F5" s="69">
        <f>D5*E5</f>
        <v/>
      </c>
      <c r="G5" s="68" t="inlineStr">
        <is>
          <t>Emergency phrase interception in every supported language runs before any routing; Nabd never interprets symptoms; unmatched input goes to reception, not a guess.</t>
        </is>
      </c>
      <c r="H5" s="68" t="inlineStr">
        <is>
          <t>NB-222, NB-223</t>
        </is>
      </c>
      <c r="I5" s="68" t="inlineStr">
        <is>
          <t>Clinical Lead</t>
        </is>
      </c>
    </row>
    <row r="6" ht="35.05" customHeight="1" s="51">
      <c r="A6" s="62" t="inlineStr">
        <is>
          <t>R-03</t>
        </is>
      </c>
      <c r="B6" s="62" t="inlineStr">
        <is>
          <t>Security</t>
        </is>
      </c>
      <c r="C6" s="62" t="inlineStr">
        <is>
          <t>Cross-tenant or cross-region leakage breaches PDPL residency rules.</t>
        </is>
      </c>
      <c r="D6" s="66" t="n">
        <v>5</v>
      </c>
      <c r="E6" s="66" t="n">
        <v>3</v>
      </c>
      <c r="F6" s="66">
        <f>D6*E6</f>
        <v/>
      </c>
      <c r="G6" s="62" t="inlineStr">
        <is>
          <t>Isolation proven by PoC in sprint 1; region locked irreversibly at provisioning; region-scoped KMS; no cross-region replication; independent penetration test per region.</t>
        </is>
      </c>
      <c r="H6" s="62" t="inlineStr">
        <is>
          <t>NB-002, NB-271, NB-295</t>
        </is>
      </c>
      <c r="I6" s="62" t="inlineStr">
        <is>
          <t>Security Lead</t>
        </is>
      </c>
    </row>
    <row r="7" ht="35.05" customHeight="1" s="51">
      <c r="A7" s="68" t="inlineStr">
        <is>
          <t>R-04</t>
        </is>
      </c>
      <c r="B7" s="68" t="inlineStr">
        <is>
          <t>Security</t>
        </is>
      </c>
      <c r="C7" s="68" t="inlineStr">
        <is>
          <t>The public aggregator number becomes an attack and enumeration surface.</t>
        </is>
      </c>
      <c r="D7" s="69" t="n">
        <v>4</v>
      </c>
      <c r="E7" s="69" t="n">
        <v>3</v>
      </c>
      <c r="F7" s="69">
        <f>D7*E7</f>
        <v/>
      </c>
      <c r="G7" s="68" t="inlineStr">
        <is>
          <t>Per-number and per-IP rate limiting, re-verification on number change before any data release, and abuse monitoring from day one of the aggregator build.</t>
        </is>
      </c>
      <c r="H7" s="68" t="inlineStr">
        <is>
          <t>NB-288, NB-289</t>
        </is>
      </c>
      <c r="I7" s="68" t="inlineStr">
        <is>
          <t>Security Lead</t>
        </is>
      </c>
    </row>
    <row r="8" ht="35.05" customHeight="1" s="51">
      <c r="A8" s="62" t="inlineStr">
        <is>
          <t>R-05</t>
        </is>
      </c>
      <c r="B8" s="62" t="inlineStr">
        <is>
          <t>Vendor</t>
        </is>
      </c>
      <c r="C8" s="62" t="inlineStr">
        <is>
          <t>Meta rejects templates, throttles quality or delays WhatsApp onboarding, stalling the patient product.</t>
        </is>
      </c>
      <c r="D8" s="66" t="n">
        <v>5</v>
      </c>
      <c r="E8" s="66" t="n">
        <v>4</v>
      </c>
      <c r="F8" s="66">
        <f>D8*E8</f>
        <v/>
      </c>
      <c r="G8" s="62" t="inlineStr">
        <is>
          <t>Managed onboarding started in sprint 9 ahead of patient build; fleet quality monitoring; automatic SMS fallback; no clinical journey is ever blocked on messaging.</t>
        </is>
      </c>
      <c r="H8" s="62" t="inlineStr">
        <is>
          <t>NB-188, NB-264, NB-193</t>
        </is>
      </c>
      <c r="I8" s="62" t="inlineStr">
        <is>
          <t>Integration Lead</t>
        </is>
      </c>
    </row>
    <row r="9" ht="35.05" customHeight="1" s="51">
      <c r="A9" s="68" t="inlineStr">
        <is>
          <t>R-06</t>
        </is>
      </c>
      <c r="B9" s="68" t="inlineStr">
        <is>
          <t>Compliance</t>
        </is>
      </c>
      <c r="C9" s="68" t="inlineStr">
        <is>
          <t>ZATCA Phase-2 e-invoicing rejects invoices and blocks billing in Saudi Arabia.</t>
        </is>
      </c>
      <c r="D9" s="69" t="n">
        <v>5</v>
      </c>
      <c r="E9" s="69" t="n">
        <v>3</v>
      </c>
      <c r="F9" s="69">
        <f>D9*E9</f>
        <v/>
      </c>
      <c r="G9" s="68" t="inlineStr">
        <is>
          <t>Build against the ZATCA sandbox from sprint 12; validate with the official compliance tool; independent tax test pack; manual invoice fallback retained.</t>
        </is>
      </c>
      <c r="H9" s="68" t="inlineStr">
        <is>
          <t>NB-164, NB-322</t>
        </is>
      </c>
      <c r="I9" s="68" t="inlineStr">
        <is>
          <t>Finance / Tech Lead</t>
        </is>
      </c>
    </row>
    <row r="10" ht="23.85" customHeight="1" s="51">
      <c r="A10" s="62" t="inlineStr">
        <is>
          <t>R-07</t>
        </is>
      </c>
      <c r="B10" s="62" t="inlineStr">
        <is>
          <t>Compliance</t>
        </is>
      </c>
      <c r="C10" s="62" t="inlineStr">
        <is>
          <t>India GST treatment of clinical services is misapplied, creating tax exposure.</t>
        </is>
      </c>
      <c r="D10" s="66" t="n">
        <v>4</v>
      </c>
      <c r="E10" s="66" t="n">
        <v>3</v>
      </c>
      <c r="F10" s="66">
        <f>D10*E10</f>
        <v/>
      </c>
      <c r="G10" s="62" t="inlineStr">
        <is>
          <t>Independent tax review of the GST engine; effective-dated rate tables; worked-example test pack reproduced to the paisa.</t>
        </is>
      </c>
      <c r="H10" s="62" t="inlineStr">
        <is>
          <t>NB-163, NB-322</t>
        </is>
      </c>
      <c r="I10" s="62" t="inlineStr">
        <is>
          <t>Finance Lead</t>
        </is>
      </c>
    </row>
    <row r="11" ht="35.05" customHeight="1" s="51">
      <c r="A11" s="68" t="inlineStr">
        <is>
          <t>R-08</t>
        </is>
      </c>
      <c r="B11" s="68" t="inlineStr">
        <is>
          <t>Compliance</t>
        </is>
      </c>
      <c r="C11" s="68" t="inlineStr">
        <is>
          <t>India DLT registration delays block all messaging to Indian patients.</t>
        </is>
      </c>
      <c r="D11" s="69" t="n">
        <v>4</v>
      </c>
      <c r="E11" s="69" t="n">
        <v>4</v>
      </c>
      <c r="F11" s="69">
        <f>D11*E11</f>
        <v/>
      </c>
      <c r="G11" s="68" t="inlineStr">
        <is>
          <t>Start DLT registration in parallel with the messaging build in sprint 13; keep templates minimal and stable; SMS fallback also requires DLT, so treat it as a single critical path.</t>
        </is>
      </c>
      <c r="H11" s="68" t="inlineStr">
        <is>
          <t>NB-194</t>
        </is>
      </c>
      <c r="I11" s="68" t="inlineStr">
        <is>
          <t>Integration Lead</t>
        </is>
      </c>
    </row>
    <row r="12" ht="35.05" customHeight="1" s="51">
      <c r="A12" s="62" t="inlineStr">
        <is>
          <t>R-09</t>
        </is>
      </c>
      <c r="B12" s="62" t="inlineStr">
        <is>
          <t>Delivery</t>
        </is>
      </c>
      <c r="C12" s="62" t="inlineStr">
        <is>
          <t>Scope is roughly double v1 and cannot be absorbed by a single team.</t>
        </is>
      </c>
      <c r="D12" s="66" t="n">
        <v>5</v>
      </c>
      <c r="E12" s="66" t="n">
        <v>4</v>
      </c>
      <c r="F12" s="66">
        <f>D12*E12</f>
        <v/>
      </c>
      <c r="G12" s="62" t="inlineStr">
        <is>
          <t>Four explicit delivery tracks; squad ramp published on the Sprints tab peaking at five squads; Phase 2 and Phase 3 items are separately funded and can be cut without touching MVP.</t>
        </is>
      </c>
      <c r="H12" s="62" t="inlineStr">
        <is>
          <t>NB-343</t>
        </is>
      </c>
      <c r="I12" s="62" t="inlineStr">
        <is>
          <t>Delivery Manager</t>
        </is>
      </c>
    </row>
    <row r="13" ht="35.05" customHeight="1" s="51">
      <c r="A13" s="68" t="inlineStr">
        <is>
          <t>R-10</t>
        </is>
      </c>
      <c r="B13" s="68" t="inlineStr">
        <is>
          <t>Delivery</t>
        </is>
      </c>
      <c r="C13" s="68" t="inlineStr">
        <is>
          <t>Nine clinical specialties are treated as one workstream and swamp the clinical track.</t>
        </is>
      </c>
      <c r="D13" s="69" t="n">
        <v>4</v>
      </c>
      <c r="E13" s="69" t="n">
        <v>4</v>
      </c>
      <c r="F13" s="69">
        <f>D13*E13</f>
        <v/>
      </c>
      <c r="G13" s="68" t="inlineStr">
        <is>
          <t>Specialty profile framework first, then one specialty at a time behind an entitlement flag; ENT, Ayurveda and Homeopathy are Phase 2 and droppable.</t>
        </is>
      </c>
      <c r="H13" s="68" t="inlineStr">
        <is>
          <t>NB-121, NB-122</t>
        </is>
      </c>
      <c r="I13" s="68" t="inlineStr">
        <is>
          <t>Product Owner</t>
        </is>
      </c>
    </row>
    <row r="14" ht="23.85" customHeight="1" s="51">
      <c r="A14" s="62" t="inlineStr">
        <is>
          <t>R-11</t>
        </is>
      </c>
      <c r="B14" s="62" t="inlineStr">
        <is>
          <t>Delivery</t>
        </is>
      </c>
      <c r="C14" s="62" t="inlineStr">
        <is>
          <t>RBAC complexity — twelve roles across clinic and platform — is underestimated.</t>
        </is>
      </c>
      <c r="D14" s="66" t="n">
        <v>4</v>
      </c>
      <c r="E14" s="66" t="n">
        <v>4</v>
      </c>
      <c r="F14" s="66">
        <f>D14*E14</f>
        <v/>
      </c>
      <c r="G14" s="62" t="inlineStr">
        <is>
          <t>Permission model built in sprint 4 before feature work; automated role-by-endpoint negative-test suite covering all twelve roles from sprint 12.</t>
        </is>
      </c>
      <c r="H14" s="62" t="inlineStr">
        <is>
          <t>NB-049, NB-257, NB-317</t>
        </is>
      </c>
      <c r="I14" s="62" t="inlineStr">
        <is>
          <t>Tech Lead</t>
        </is>
      </c>
    </row>
    <row r="15" ht="23.85" customHeight="1" s="51">
      <c r="A15" s="68" t="inlineStr">
        <is>
          <t>R-12</t>
        </is>
      </c>
      <c r="B15" s="68" t="inlineStr">
        <is>
          <t>Product</t>
        </is>
      </c>
      <c r="C15" s="68" t="inlineStr">
        <is>
          <t>The patient WhatsApp journey exceeds its tap budget and patients abandon booking.</t>
        </is>
      </c>
      <c r="D15" s="69" t="n">
        <v>4</v>
      </c>
      <c r="E15" s="69" t="n">
        <v>3</v>
      </c>
      <c r="F15" s="69">
        <f>D15*E15</f>
        <v/>
      </c>
      <c r="G15" s="68" t="inlineStr">
        <is>
          <t>Tap budgets are asserted automatically in the conversation test harness, not reviewed by eye; single-member numbers never see a picker.</t>
        </is>
      </c>
      <c r="H15" s="68" t="inlineStr">
        <is>
          <t>NB-202, NB-316</t>
        </is>
      </c>
      <c r="I15" s="68" t="inlineStr">
        <is>
          <t>Product Owner</t>
        </is>
      </c>
    </row>
    <row r="16" ht="35.05" customHeight="1" s="51">
      <c r="A16" s="62" t="inlineStr">
        <is>
          <t>R-13</t>
        </is>
      </c>
      <c r="B16" s="62" t="inlineStr">
        <is>
          <t>Product</t>
        </is>
      </c>
      <c r="C16" s="62" t="inlineStr">
        <is>
          <t>Family and proxy handling leaks one member's data to another.</t>
        </is>
      </c>
      <c r="D16" s="66" t="n">
        <v>5</v>
      </c>
      <c r="E16" s="66" t="n">
        <v>3</v>
      </c>
      <c r="F16" s="66">
        <f>D16*E16</f>
        <v/>
      </c>
      <c r="G16" s="62" t="inlineStr">
        <is>
          <t>Consent captured per member; proxy scope explicit and revocable immediately; wrong-family-member added to the clinical hazard log; IDOR testing covers family-scoped routes.</t>
        </is>
      </c>
      <c r="H16" s="62" t="inlineStr">
        <is>
          <t>NB-081, NB-085, NB-321</t>
        </is>
      </c>
      <c r="I16" s="62" t="inlineStr">
        <is>
          <t>Security Lead</t>
        </is>
      </c>
    </row>
    <row r="17" ht="23.85" customHeight="1" s="51">
      <c r="A17" s="68" t="inlineStr">
        <is>
          <t>R-14</t>
        </is>
      </c>
      <c r="B17" s="68" t="inlineStr">
        <is>
          <t>Localisation</t>
        </is>
      </c>
      <c r="C17" s="68" t="inlineStr">
        <is>
          <t>Arabic RTL, Hijri and anatomy-mirroring defects are found late because testing is English-first.</t>
        </is>
      </c>
      <c r="D17" s="69" t="n">
        <v>3</v>
      </c>
      <c r="E17" s="69" t="n">
        <v>4</v>
      </c>
      <c r="F17" s="69">
        <f>D17*E17</f>
        <v/>
      </c>
      <c r="G17" s="68" t="inlineStr">
        <is>
          <t>Pseudo-locale from sprint 3; RTL visual regression in CI including anatomy and chart time axes; native clinician sign-off on clinical strings.</t>
        </is>
      </c>
      <c r="H17" s="68" t="inlineStr">
        <is>
          <t>NB-031, NB-319, NB-038</t>
        </is>
      </c>
      <c r="I17" s="68" t="inlineStr">
        <is>
          <t>QA Lead</t>
        </is>
      </c>
    </row>
    <row r="18" ht="35.05" customHeight="1" s="51">
      <c r="A18" s="62" t="inlineStr">
        <is>
          <t>R-15</t>
        </is>
      </c>
      <c r="B18" s="62" t="inlineStr">
        <is>
          <t>Operations</t>
        </is>
      </c>
      <c r="C18" s="62" t="inlineStr">
        <is>
          <t>Clinic connectivity is poor and staff believe queued work has been lost.</t>
        </is>
      </c>
      <c r="D18" s="66" t="n">
        <v>4</v>
      </c>
      <c r="E18" s="66" t="n">
        <v>4</v>
      </c>
      <c r="F18" s="66">
        <f>D18*E18</f>
        <v/>
      </c>
      <c r="G18" s="62" t="inlineStr">
        <is>
          <t>Offline queue with ordered replay; sync banner states queued counts; platform health reports a backlog as offline working, not data loss; no destructive action offered while queued.</t>
        </is>
      </c>
      <c r="H18" s="62" t="inlineStr">
        <is>
          <t>NB-328, NB-263</t>
        </is>
      </c>
      <c r="I18" s="62" t="inlineStr">
        <is>
          <t>Frontend Lead</t>
        </is>
      </c>
    </row>
    <row r="19" ht="23.85" customHeight="1" s="51">
      <c r="A19" s="68" t="inlineStr">
        <is>
          <t>R-16</t>
        </is>
      </c>
      <c r="B19" s="68" t="inlineStr">
        <is>
          <t>Operations</t>
        </is>
      </c>
      <c r="C19" s="68" t="inlineStr">
        <is>
          <t>Morning-rush clinic load plus unbounded patient messaging concurrency degrades the queue.</t>
        </is>
      </c>
      <c r="D19" s="69" t="n">
        <v>4</v>
      </c>
      <c r="E19" s="69" t="n">
        <v>3</v>
      </c>
      <c r="F19" s="69">
        <f>D19*E19</f>
        <v/>
      </c>
      <c r="G19" s="68" t="inlineStr">
        <is>
          <t>Load test to twice expected peak on both sides; read-model separation for reports; provider backpressure rather than message loss.</t>
        </is>
      </c>
      <c r="H19" s="68" t="inlineStr">
        <is>
          <t>NB-327, NB-331, NB-228</t>
        </is>
      </c>
      <c r="I19" s="68" t="inlineStr">
        <is>
          <t>Platform Lead</t>
        </is>
      </c>
    </row>
    <row r="20" ht="23.85" customHeight="1" s="51">
      <c r="A20" s="62" t="inlineStr">
        <is>
          <t>R-17</t>
        </is>
      </c>
      <c r="B20" s="62" t="inlineStr">
        <is>
          <t>Adoption</t>
        </is>
      </c>
      <c r="C20" s="62" t="inlineStr">
        <is>
          <t>Reception reverts to paper because checkout is slower than their current process.</t>
        </is>
      </c>
      <c r="D20" s="66" t="n">
        <v>4</v>
      </c>
      <c r="E20" s="66" t="n">
        <v>3</v>
      </c>
      <c r="F20" s="66">
        <f>D20*E20</f>
        <v/>
      </c>
      <c r="G20" s="62" t="inlineStr">
        <is>
          <t>Time-on-task testing during UAT; keyboard-first checkout; command palette; pilot feedback loop in both regions.</t>
        </is>
      </c>
      <c r="H20" s="62" t="inlineStr">
        <is>
          <t>NB-323, NB-162</t>
        </is>
      </c>
      <c r="I20" s="62" t="inlineStr">
        <is>
          <t>Product Owner</t>
        </is>
      </c>
    </row>
    <row r="21" ht="23.85" customHeight="1" s="51">
      <c r="A21" s="68" t="inlineStr">
        <is>
          <t>R-18</t>
        </is>
      </c>
      <c r="B21" s="68" t="inlineStr">
        <is>
          <t>Data</t>
        </is>
      </c>
      <c r="C21" s="68" t="inlineStr">
        <is>
          <t>Legacy migration produces duplicate or mismatched patient records.</t>
        </is>
      </c>
      <c r="D21" s="69" t="n">
        <v>4</v>
      </c>
      <c r="E21" s="69" t="n">
        <v>3</v>
      </c>
      <c r="F21" s="69">
        <f>D21*E21</f>
        <v/>
      </c>
      <c r="G21" s="68" t="inlineStr">
        <is>
          <t>Dry-run imports with a validation report before any write; supervised merge with a 30-day reversal window.</t>
        </is>
      </c>
      <c r="H21" s="68" t="inlineStr">
        <is>
          <t>NB-342, NB-072</t>
        </is>
      </c>
      <c r="I21" s="68" t="inlineStr">
        <is>
          <t>Data Lead</t>
        </is>
      </c>
    </row>
    <row r="22" ht="23.85" customHeight="1" s="51">
      <c r="A22" s="62" t="inlineStr">
        <is>
          <t>R-19</t>
        </is>
      </c>
      <c r="B22" s="62" t="inlineStr">
        <is>
          <t>Commercial</t>
        </is>
      </c>
      <c r="C22" s="62" t="inlineStr">
        <is>
          <t>Self-serve trials create tenants holding patient data without a signed DPA.</t>
        </is>
      </c>
      <c r="D22" s="66" t="n">
        <v>4</v>
      </c>
      <c r="E22" s="66" t="n">
        <v>2</v>
      </c>
      <c r="F22" s="66">
        <f>D22*E22</f>
        <v/>
      </c>
      <c r="G22" s="62" t="inlineStr">
        <is>
          <t>The digital DPA gate blocks patient data entry until a plan is chosen and the DPA signed and versioned in the consent registry.</t>
        </is>
      </c>
      <c r="H22" s="62" t="inlineStr">
        <is>
          <t>NB-276, NB-275</t>
        </is>
      </c>
      <c r="I22" s="62" t="inlineStr">
        <is>
          <t>Compliance / DPO</t>
        </is>
      </c>
    </row>
    <row r="23" ht="35.05" customHeight="1" s="51">
      <c r="A23" s="68" t="inlineStr">
        <is>
          <t>R-20</t>
        </is>
      </c>
      <c r="B23" s="68" t="inlineStr">
        <is>
          <t>Vendor</t>
        </is>
      </c>
      <c r="C23" s="68" t="inlineStr">
        <is>
          <t>Payment gateway, lab or growth-service partners change their API mid-build.</t>
        </is>
      </c>
      <c r="D23" s="69" t="n">
        <v>3</v>
      </c>
      <c r="E23" s="69" t="n">
        <v>3</v>
      </c>
      <c r="F23" s="69">
        <f>D23*E23</f>
        <v/>
      </c>
      <c r="G23" s="68" t="inlineStr">
        <is>
          <t>An anti-corruption layer per integration; mock harness in CI; contract tests against provider sandboxes; growth percentiles deliberately delegated to a validated service.</t>
        </is>
      </c>
      <c r="H23" s="68" t="inlineStr">
        <is>
          <t>NB-168, NB-132</t>
        </is>
      </c>
      <c r="I23" s="68" t="inlineStr">
        <is>
          <t>Integration Lead</t>
        </is>
      </c>
    </row>
    <row r="25" ht="15" customHeight="1" s="51">
      <c r="A25" s="65" t="inlineStr">
        <is>
          <t>Score = Impact x Likelihood. 15 and above is red and needs an active mitigation owner reporting weekly.</t>
        </is>
      </c>
    </row>
  </sheetData>
  <conditionalFormatting sqref="F4:F23">
    <cfRule type="cellIs" rank="0" priority="2" equalAverage="0" operator="greaterThanOrEqual" aboveAverage="0" dxfId="13" text="" percent="0" bottom="0">
      <formula>15</formula>
    </cfRule>
    <cfRule type="cellIs" rank="0" priority="3" equalAverage="0" operator="between" aboveAverage="0" dxfId="11" text="" percent="0" bottom="0">
      <formula>9</formula>
      <formula>14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50" min="1" max="1"/>
    <col width="14" customWidth="1" style="50" min="2" max="2"/>
    <col width="86" customWidth="1" style="50" min="3" max="3"/>
    <col width="26" customWidth="1" style="50" min="4" max="4"/>
  </cols>
  <sheetData>
    <row r="1" ht="19.7" customHeight="1" s="51">
      <c r="A1" s="52" t="inlineStr">
        <is>
          <t>What changed when the wireframe was updated</t>
        </is>
      </c>
    </row>
    <row r="2" ht="15" customHeight="1" s="51">
      <c r="A2" s="65" t="inlineStr">
        <is>
          <t>v1 (11 Aug): 202 tasks / 1,210 points. v2 (13 Aug): 349 tasks / 2,260 points.</t>
        </is>
      </c>
    </row>
    <row r="4" ht="15" customHeight="1" s="51">
      <c r="A4" s="59" t="inlineStr">
        <is>
          <t>Change</t>
        </is>
      </c>
      <c r="B4" s="59" t="inlineStr">
        <is>
          <t>Type</t>
        </is>
      </c>
      <c r="C4" s="59" t="inlineStr">
        <is>
          <t>Detail</t>
        </is>
      </c>
      <c r="D4" s="59" t="inlineStr">
        <is>
          <t>Impact</t>
        </is>
      </c>
    </row>
    <row r="5" ht="35.05" customHeight="1" s="51">
      <c r="A5" s="62" t="inlineStr">
        <is>
          <t>Requirement register introduced</t>
        </is>
      </c>
      <c r="B5" s="98" t="inlineStr">
        <is>
          <t>Added</t>
        </is>
      </c>
      <c r="C5" s="62" t="inlineStr">
        <is>
          <t>The wireframe now carries 185 formal requirement identifiers across 30 prefixes. Every task is traced to them and the Requirement Coverage tab proves complete coverage.</t>
        </is>
      </c>
      <c r="D5" s="62" t="inlineStr">
        <is>
          <t>New traceability tab; a Requirement IDs column on every task</t>
        </is>
      </c>
    </row>
    <row r="6" ht="23.85" customHeight="1" s="51">
      <c r="A6" s="68" t="inlineStr">
        <is>
          <t>Patient WhatsApp surface</t>
        </is>
      </c>
      <c r="B6" s="98" t="inlineStr">
        <is>
          <t>Added</t>
        </is>
      </c>
      <c r="C6" s="68" t="inlineStr">
        <is>
          <t>PAT-01 to PAT-26. The patient product is a WhatsApp conversation, not a web portal — registration, booking, queue, payments, documents, privacy and language all in chat.</t>
        </is>
      </c>
      <c r="D6" s="68" t="inlineStr">
        <is>
          <t>New epic E18, 20 tasks, 128 points</t>
        </is>
      </c>
    </row>
    <row r="7" ht="23.85" customHeight="1" s="51">
      <c r="A7" s="62" t="inlineStr">
        <is>
          <t>Caregiver, family &amp; guardianship</t>
        </is>
      </c>
      <c r="B7" s="98" t="inlineStr">
        <is>
          <t>Added</t>
        </is>
      </c>
      <c r="C7" s="62" t="inlineStr">
        <is>
          <t>CGV-01 to CGV-10. One number for a whole family, proxy booking, dual delivery, revocation, age-18 handover and family plans.</t>
        </is>
      </c>
      <c r="D7" s="62" t="inlineStr">
        <is>
          <t>New epic E09, 10 tasks, 65 points</t>
        </is>
      </c>
    </row>
    <row r="8" ht="23.85" customHeight="1" s="51">
      <c r="A8" s="68" t="inlineStr">
        <is>
          <t>Aggregator &amp; demand layer</t>
        </is>
      </c>
      <c r="B8" s="98" t="inlineStr">
        <is>
          <t>Added</t>
        </is>
      </c>
      <c r="C8" s="68" t="inlineStr">
        <is>
          <t>AGG-01 to AGG-05. A shared Nabd number with invisible routing, emergency interception, word-to-specialty matching and verified-visit ratings.</t>
        </is>
      </c>
      <c r="D8" s="68" t="inlineStr">
        <is>
          <t>New epic E19, 7 tasks, 56 points</t>
        </is>
      </c>
    </row>
    <row r="9" ht="23.85" customHeight="1" s="51">
      <c r="A9" s="62" t="inlineStr">
        <is>
          <t>Platform console rebuilt</t>
        </is>
      </c>
      <c r="B9" s="99" t="inlineStr">
        <is>
          <t>Expanded</t>
        </is>
      </c>
      <c r="C9" s="62" t="inlineStr">
        <is>
          <t>Seven segregated SaaS operator roles, provisioning as a resumable job queue rather than a wizard, subscriptions and dunning, discount approvals, support tickets with SLA, platform health and territories.</t>
        </is>
      </c>
      <c r="D9" s="62" t="inlineStr">
        <is>
          <t>E22 grew from 10 tasks to 18</t>
        </is>
      </c>
    </row>
    <row r="10" ht="23.85" customHeight="1" s="51">
      <c r="A10" s="68" t="inlineStr">
        <is>
          <t>Chart &amp; data-visualisation system</t>
        </is>
      </c>
      <c r="B10" s="98" t="inlineStr">
        <is>
          <t>Added</t>
        </is>
      </c>
      <c r="C10" s="68" t="inlineStr">
        <is>
          <t>DESIGN.md 8.22-8.29: an eight-slot series palette, all-pairs colour gate, inline SVG only, ten mandatory chart states and a table view for every chart.</t>
        </is>
      </c>
      <c r="D10" s="68" t="inlineStr">
        <is>
          <t>New epic E03, 8 tasks, 49 points</t>
        </is>
      </c>
    </row>
    <row r="11" ht="23.85" customHeight="1" s="51">
      <c r="A11" s="62" t="inlineStr">
        <is>
          <t>Messaging component set &amp; infrastructure</t>
        </is>
      </c>
      <c r="B11" s="98" t="inlineStr">
        <is>
          <t>Added</t>
        </is>
      </c>
      <c r="C11" s="62" t="inlineStr">
        <is>
          <t>DESIGN.md 8.16-8.21 plus managed WhatsApp onboarding, template governance, 24-hour session windows, delivery states, SMS fallback and India DLT.</t>
        </is>
      </c>
      <c r="D11" s="62" t="inlineStr">
        <is>
          <t>New epic E17, 13 tasks, 100 points</t>
        </is>
      </c>
    </row>
    <row r="12" ht="23.85" customHeight="1" s="51">
      <c r="A12" s="68" t="inlineStr">
        <is>
          <t>Pharmacy properly specified</t>
        </is>
      </c>
      <c r="B12" s="99" t="inlineStr">
        <is>
          <t>Expanded</t>
        </is>
      </c>
      <c r="C12" s="68" t="inlineStr">
        <is>
          <t>PHR-01 to PHR-12 with three modes (external, hybrid, in-house), FEFO batch handling, controlled-drug register, refills and adherence capture.</t>
        </is>
      </c>
      <c r="D12" s="68" t="inlineStr">
        <is>
          <t>Was one deferred task in v1; now epic E16 with 11 tasks</t>
        </is>
      </c>
    </row>
    <row r="13" ht="23.85" customHeight="1" s="51">
      <c r="A13" s="62" t="inlineStr">
        <is>
          <t>Compliance &amp; data protection deepened</t>
        </is>
      </c>
      <c r="B13" s="99" t="inlineStr">
        <is>
          <t>Expanded</t>
        </is>
      </c>
      <c r="C13" s="62" t="inlineStr">
        <is>
          <t>CMP-01 to CMP-12 and DPO-01 to DPO-09: consent template library, consent as a hard gate, DSR engine with statutory timers, retention engine, breach ops, licence tracker and child-data controls.</t>
        </is>
      </c>
      <c r="D13" s="62" t="inlineStr">
        <is>
          <t>E21 grew from 8 tasks to 19</t>
        </is>
      </c>
    </row>
    <row r="14" ht="35.05" customHeight="1" s="51">
      <c r="A14" s="68" t="inlineStr">
        <is>
          <t>Specialty workspaces broken out</t>
        </is>
      </c>
      <c r="B14" s="99" t="inlineStr">
        <is>
          <t>Expanded</t>
        </is>
      </c>
      <c r="C14" s="68" t="inlineStr">
        <is>
          <t>Nine specialties now specified individually: Dental (FDI storage, radiographs, staging, orthodontics, per-tooth timeline), Dermatology, Paediatrics, General practice, Orthopaedics, Gynaecology, ENT, Ayurveda and Homeopathy.</t>
        </is>
      </c>
      <c r="D14" s="68" t="inlineStr">
        <is>
          <t>Was one 13-point task; now epic E12 with 21 tasks</t>
        </is>
      </c>
    </row>
    <row r="15" ht="23.85" customHeight="1" s="51">
      <c r="A15" s="62" t="inlineStr">
        <is>
          <t>Clinic setup &amp; administration</t>
        </is>
      </c>
      <c r="B15" s="98" t="inlineStr">
        <is>
          <t>Added</t>
        </is>
      </c>
      <c r="C15" s="62" t="inlineStr">
        <is>
          <t>CAD-01 to CAD-13: a skippable, resumable, fully self-serve setup wizard, price master, policy settings, shift timings and self-serve import/export.</t>
        </is>
      </c>
      <c r="D15" s="62" t="inlineStr">
        <is>
          <t>New epic E07, 11 tasks</t>
        </is>
      </c>
    </row>
    <row r="16" ht="23.85" customHeight="1" s="51">
      <c r="A16" s="68" t="inlineStr">
        <is>
          <t>Trial, sales &amp; growth</t>
        </is>
      </c>
      <c r="B16" s="98" t="inlineStr">
        <is>
          <t>Added</t>
        </is>
      </c>
      <c r="C16" s="68" t="inlineStr">
        <is>
          <t>SCS-01 to SCS-04 plus the digital DPA gate — self-serve trial creation, inside sales, activation tracking and white-glove setup.</t>
        </is>
      </c>
      <c r="D16" s="68" t="inlineStr">
        <is>
          <t>New epic E23, 7 tasks</t>
        </is>
      </c>
    </row>
    <row r="17" ht="23.85" customHeight="1" s="51">
      <c r="A17" s="62" t="inlineStr">
        <is>
          <t>SSO and hardware keys</t>
        </is>
      </c>
      <c r="B17" s="100" t="inlineStr">
        <is>
          <t>REMOVED</t>
        </is>
      </c>
      <c r="C17" s="62" t="inlineStr">
        <is>
          <t>NFR-06 states plainly: no SSO, no hardware keys. Staff sign in with WhatsApp OTP, a short PIN or an authenticator app. The v1 SSO/OIDC task has been deleted, not deferred.</t>
        </is>
      </c>
      <c r="D17" s="62" t="inlineStr">
        <is>
          <t>v1 task removed; 8 points returned</t>
        </is>
      </c>
    </row>
    <row r="18" ht="15" customHeight="1" s="51">
      <c r="A18" s="68" t="inlineStr">
        <is>
          <t>Patient web portal (OTP)</t>
        </is>
      </c>
      <c r="B18" s="100" t="inlineStr">
        <is>
          <t>REPLACED</t>
        </is>
      </c>
      <c r="C18" s="68" t="inlineStr">
        <is>
          <t>v1 assumed an OTP web portal for patients. The wireframe replaces it entirely with the WhatsApp surface.</t>
        </is>
      </c>
      <c r="D18" s="68" t="inlineStr">
        <is>
          <t>v1 task replaced by epic E18</t>
        </is>
      </c>
    </row>
    <row r="19" ht="23.85" customHeight="1" s="51">
      <c r="A19" s="62" t="inlineStr">
        <is>
          <t>Insurance claims scope narrowed</t>
        </is>
      </c>
      <c r="B19" s="99" t="inlineStr">
        <is>
          <t>Re-scoped</t>
        </is>
      </c>
      <c r="C19" s="62" t="inlineStr">
        <is>
          <t>SYS-10 makes full claims a Phase 3 certified-middleware integration and puts Ayushman out of scope. Only a simple claim export (BIL-11) and NPHIES eligibility-check-lite (RCP-07) remain in scope.</t>
        </is>
      </c>
      <c r="D19" s="62" t="inlineStr">
        <is>
          <t>v1 groundwork task re-scoped into two bounded tasks</t>
        </is>
      </c>
    </row>
    <row r="20" ht="23.85" customHeight="1" s="51">
      <c r="A20" s="68" t="inlineStr">
        <is>
          <t>Payroll</t>
        </is>
      </c>
      <c r="B20" s="99" t="inlineStr">
        <is>
          <t>Re-scoped</t>
        </is>
      </c>
      <c r="C20" s="68" t="inlineStr">
        <is>
          <t>CAD-10 states there is deliberately no payroll engine — a CSV export only.</t>
        </is>
      </c>
      <c r="D20" s="68" t="inlineStr">
        <is>
          <t>Bounded to a 5-point export task</t>
        </is>
      </c>
    </row>
    <row r="21" ht="35.05" customHeight="1" s="51">
      <c r="A21" s="62" t="inlineStr">
        <is>
          <t>Region residency hardened</t>
        </is>
      </c>
      <c r="B21" s="99" t="inlineStr">
        <is>
          <t>Expanded</t>
        </is>
      </c>
      <c r="C21" s="62" t="inlineStr">
        <is>
          <t>Region is now locked irreversibly at provisioning with region-scoped KMS keys and no cross-region replication (SYS-14 / NFR-04), rather than routing alone.</t>
        </is>
      </c>
      <c r="D21" s="62" t="inlineStr">
        <is>
          <t>Isolation and KMS tasks strengthened; new security controls</t>
        </is>
      </c>
    </row>
    <row r="22" ht="23.85" customHeight="1" s="51">
      <c r="A22" s="68" t="inlineStr">
        <is>
          <t>Penetration testing split by region</t>
        </is>
      </c>
      <c r="B22" s="99" t="inlineStr">
        <is>
          <t>Changed</t>
        </is>
      </c>
      <c r="C22" s="68" t="inlineStr">
        <is>
          <t>NFR-09 requires an annual CERT-In-empanelled VAPT for India specifically, plus an annual drill with tenants. KSA needs its own independent test.</t>
        </is>
      </c>
      <c r="D22" s="68" t="inlineStr">
        <is>
          <t>One v1 pentest task became two</t>
        </is>
      </c>
    </row>
    <row r="23" ht="23.85" customHeight="1" s="51">
      <c r="A23" s="62" t="inlineStr">
        <is>
          <t>Waiting-room display hardened</t>
        </is>
      </c>
      <c r="B23" s="99" t="inlineStr">
        <is>
          <t>Expanded</t>
        </is>
      </c>
      <c r="C23" s="62" t="inlineStr">
        <is>
          <t>RCP-14 adds liveness: paired, stale and connection-lost states re-checked every three seconds, and a TV scale that is explicitly not a breakpoint.</t>
        </is>
      </c>
      <c r="D23" s="62" t="inlineStr">
        <is>
          <t>One v1 task became three</t>
        </is>
      </c>
    </row>
    <row r="24" ht="23.85" customHeight="1" s="51">
      <c r="A24" s="68" t="inlineStr">
        <is>
          <t>Consent moved into the data path</t>
        </is>
      </c>
      <c r="B24" s="99" t="inlineStr">
        <is>
          <t>Changed</t>
        </is>
      </c>
      <c r="C24" s="68" t="inlineStr">
        <is>
          <t>NFR-08 requires consent to be checked at query level, not in the UI. This is an architectural constraint, not a screen.</t>
        </is>
      </c>
      <c r="D24" s="68" t="inlineStr">
        <is>
          <t>New foundational task in E06</t>
        </is>
      </c>
    </row>
    <row r="25" ht="23.85" customHeight="1" s="51">
      <c r="A25" s="62" t="inlineStr">
        <is>
          <t>Prayer-window send reconciliation</t>
        </is>
      </c>
      <c r="B25" s="98" t="inlineStr">
        <is>
          <t>Added</t>
        </is>
      </c>
      <c r="C25" s="62" t="inlineStr">
        <is>
          <t>SYS-03: routine sends defer around prayer windows, but operationally urgent broadcasts such as a doctor delay are not held.</t>
        </is>
      </c>
      <c r="D25" s="62" t="inlineStr">
        <is>
          <t>New tasks in E04, E10 and E17</t>
        </is>
      </c>
    </row>
    <row r="26" ht="23.85" customHeight="1" s="51">
      <c r="A26" s="68" t="inlineStr">
        <is>
          <t>Anatomy excluded from RTL mirroring</t>
        </is>
      </c>
      <c r="B26" s="98" t="inlineStr">
        <is>
          <t>Added</t>
        </is>
      </c>
      <c r="C26" s="68" t="inlineStr">
        <is>
          <t>The dental arch and dermatology body map keep fixed left-to-right order in Arabic because they represent the patient's actual left and right.</t>
        </is>
      </c>
      <c r="D26" s="68" t="inlineStr">
        <is>
          <t>Added to the RTL exception and test tasks</t>
        </is>
      </c>
    </row>
    <row r="27" ht="23.85" customHeight="1" s="51">
      <c r="A27" s="62" t="inlineStr">
        <is>
          <t>Delivery phase column added</t>
        </is>
      </c>
      <c r="B27" s="98" t="inlineStr">
        <is>
          <t>Added</t>
        </is>
      </c>
      <c r="C27" s="62" t="inlineStr">
        <is>
          <t>The wireframe marks items MVP, Phase 2 or Phase 3. That marking is now a data column so Phase 2 and 3 can be cut or funded separately.</t>
        </is>
      </c>
      <c r="D27" s="62" t="inlineStr">
        <is>
          <t>293 MVP / 50 Phase 2 / 6 Phase 3</t>
        </is>
      </c>
    </row>
    <row r="28" ht="23.85" customHeight="1" s="51">
      <c r="A28" s="68" t="inlineStr">
        <is>
          <t>Delivery model changed</t>
        </is>
      </c>
      <c r="B28" s="99" t="inlineStr">
        <is>
          <t>Changed</t>
        </is>
      </c>
      <c r="C28" s="68" t="inlineStr">
        <is>
          <t>v1 assumed a single 8-9 person team over 18 sprints. v2 needs four parallel tracks ramping to five squads (roughly 30 people) across 23 sprints.</t>
        </is>
      </c>
      <c r="D28" s="68" t="inlineStr">
        <is>
          <t>New Tracks tab; squad ramp on the Sprints tab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2026-08-13T14:04:19Z</dcterms:created>
  <dcterms:modified xsi:type="dcterms:W3CDTF">2026-09-07T10:52:15Z</dcterms:modified>
  <cp:revision>0</cp:revision>
</cp:coreProperties>
</file>